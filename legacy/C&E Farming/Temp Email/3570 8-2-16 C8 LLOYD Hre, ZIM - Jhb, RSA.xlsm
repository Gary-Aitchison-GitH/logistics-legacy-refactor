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75" windowWidth="20115" windowHeight="7995"/>
  </bookViews>
  <sheets>
    <sheet name="TRIP SHEET" sheetId="1" r:id="rId1"/>
    <sheet name="COMMENTS" sheetId="2" r:id="rId2"/>
  </sheets>
  <calcPr calcId="145621"/>
</workbook>
</file>

<file path=xl/calcChain.xml><?xml version="1.0" encoding="utf-8"?>
<calcChain xmlns="http://schemas.openxmlformats.org/spreadsheetml/2006/main">
  <c r="C50" i="1" l="1"/>
  <c r="E50" i="1" l="1"/>
  <c r="F50" i="1" l="1"/>
  <c r="E13" i="1" l="1"/>
  <c r="B13" i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<sst xmlns="http://schemas.openxmlformats.org/spreadsheetml/2006/main" count="74" uniqueCount="63">
  <si>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</si>
  <si>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</si>
  <si>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</si>
  <si>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</si>
  <si>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</si>
  <si>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</si>
  <si>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</si>
  <si>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</si>
  <si>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</si>
  <si>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</si>
  <si>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</si>
  <si>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</si>
  <si>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</si>
  <si>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</si>
  <si>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</si>
  <si>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</si>
  <si>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</si>
  <si>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</si>
  <si>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</si>
  <si>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</si>
  <si>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</si>
  <si>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</si>
  <si>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</si>
  <si>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</si>
  <si>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</si>
  <si>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</si>
  <si>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</si>
  <si>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</si>
  <si>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</si>
  <si>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</si>
  <si>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</si>
  <si>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</si>
  <si>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</si>
  <si>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</si>
  <si>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</si>
  <si>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</si>
  <si>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</si>
  <si>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</si>
  <si>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</si>
  <si>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</si>
  <si>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</si>
  <si>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</si>
  <si>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</si>
  <si>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</si>
  <si>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</si>
  <si>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</si>
  <si>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</si>
  <si>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</si>
  <si>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</si>
  <si>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</si>
  <si>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</si>
  <si>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</si>
  <si>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</si>
  <si>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3570 8-2-16 C8 LLOYD Hre, ZIM - Jhb, RSA</t>
  </si>
  <si>
    <t>LLOYD</t>
  </si>
  <si>
    <t>C8</t>
  </si>
  <si>
    <t>AAS 5838</t>
  </si>
  <si>
    <t>AAZ 0029</t>
  </si>
  <si>
    <t>Hre, ZIM - Jhb, RSA</t>
  </si>
  <si>
    <t>TEA</t>
  </si>
  <si>
    <t>Jhb, RSA - Hre, ZIM</t>
  </si>
  <si>
    <t>COFFEE</t>
  </si>
  <si>
    <t>HARARE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</si>
</sst>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 activeCell="C42" sqref="C42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3570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42408</v>
      </c>
      <c r="C3" s="25" t="s">
        <v>33</v>
      </c>
      <c r="D3" s="10" t="s">
        <v>21</v>
      </c>
      <c r="E3" s="30">
        <v>480700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 t="s">
        <v>57</v>
      </c>
      <c r="F7" s="11"/>
    </row>
    <row r="8" spans="1:6" ht="18" customHeight="1" x14ac:dyDescent="0.25">
      <c r="A8" s="11"/>
      <c r="B8" s="11"/>
      <c r="C8" s="11"/>
      <c r="D8" s="15" t="s">
        <v>3</v>
      </c>
      <c r="E8" s="8"/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58</v>
      </c>
      <c r="C10" s="12"/>
      <c r="D10" s="10" t="s">
        <v>26</v>
      </c>
      <c r="E10" s="9" t="s">
        <v>60</v>
      </c>
      <c r="F10" s="12"/>
    </row>
    <row r="11" spans="1:6" ht="18" customHeight="1" x14ac:dyDescent="0.25">
      <c r="A11" s="10" t="s">
        <v>23</v>
      </c>
      <c r="B11" s="9" t="s">
        <v>59</v>
      </c>
      <c r="C11" s="12"/>
      <c r="D11" s="10" t="s">
        <v>23</v>
      </c>
      <c r="E11" s="16" t="s">
        <v>61</v>
      </c>
      <c r="F11" s="12"/>
    </row>
    <row r="12" spans="1:6" ht="18" customHeight="1" x14ac:dyDescent="0.25">
      <c r="A12" s="10" t="s">
        <v>24</v>
      </c>
      <c r="B12" s="17">
        <v>1120642</v>
      </c>
      <c r="C12" s="11"/>
      <c r="D12" s="10" t="s">
        <v>24</v>
      </c>
      <c r="E12" s="17">
        <v>1120643</v>
      </c>
      <c r="F12" s="11"/>
    </row>
    <row r="13" spans="1:6" ht="18" customHeight="1" x14ac:dyDescent="0.25">
      <c r="A13" s="10" t="s">
        <v>25</v>
      </c>
      <c r="B13" s="18" t="str">
        <f>IF(B12="","",$B$1&amp;"A")</f>
        <v>3570A</v>
      </c>
      <c r="C13" s="11"/>
      <c r="D13" s="10" t="s">
        <v>25</v>
      </c>
      <c r="E13" s="18" t="str">
        <f>IF(E12="","",$B$1&amp;"B")</f>
        <v>3570B</v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42408</v>
      </c>
      <c r="B17" s="9"/>
      <c r="C17" s="12"/>
      <c r="D17" s="18"/>
      <c r="E17" s="19"/>
      <c r="F17" s="19">
        <v>50</v>
      </c>
    </row>
    <row r="18" spans="1:6" x14ac:dyDescent="0.25">
      <c r="A18" s="14"/>
      <c r="B18" s="9"/>
      <c r="C18" s="12"/>
      <c r="D18" s="19"/>
      <c r="E18" s="19"/>
      <c r="F18" s="19"/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42408</v>
      </c>
      <c r="B30" s="9"/>
      <c r="C30" s="12"/>
      <c r="D30" s="27"/>
      <c r="E30" s="27"/>
      <c r="F30" s="27">
        <v>500</v>
      </c>
    </row>
    <row r="31" spans="1:6" x14ac:dyDescent="0.25">
      <c r="A31" s="14"/>
      <c r="B31" s="9"/>
      <c r="C31" s="12"/>
      <c r="D31" s="27"/>
      <c r="E31" s="27"/>
      <c r="F31" s="27"/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42408</v>
      </c>
      <c r="B42" s="18" t="s">
        <v>62</v>
      </c>
      <c r="C42" s="22">
        <v>299</v>
      </c>
      <c r="D42" s="30">
        <v>475900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B13" sqref="B13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B10" s="2"/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2016-01-20T12:28:57Z</cp:lastPrinted>
  <dcterms:created xsi:type="dcterms:W3CDTF">2016-01-05T10:46:09Z</dcterms:created>
  <dcterms:modified xsi:type="dcterms:W3CDTF">2016-02-08T15:04:37Z</dcterms:modified>
</cp:coreProperties>
</file>