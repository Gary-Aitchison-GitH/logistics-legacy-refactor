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Temp Email\"/>
    </mc:Choice>
  </mc:AlternateContent>
  <bookViews>
    <workbookView xWindow="240" yWindow="75" windowWidth="19440" windowHeight="7995"/>
  </bookViews>
  <sheets>
    <sheet name="TRIP SHEET" sheetId="1" r:id="rId1"/>
    <sheet name="COMMENTS" sheetId="2" r:id="rId2"/>
  </sheets>
  <calcPr calcId="171027"/>
</workbook>
</file>

<file path=xl/calcChain.xml><?xml version="1.0" encoding="utf-8"?>
<calcChain xmlns="http://schemas.openxmlformats.org/spreadsheetml/2006/main">
  <c r="F18" i="1" l="1"/>
  <c r="E50" i="1" l="1"/>
  <c r="C50" i="1"/>
  <c r="F50" i="1" l="1"/>
  <c r="E13" i="1" l="1"/>
  <c r="B13" i="1"/>
  <c r="F39" i="1" l="1"/>
  <c r="F38" i="1"/>
  <c r="F37" i="1"/>
  <c r="F36" i="1"/>
  <c r="F35" i="1"/>
  <c r="F27" i="1"/>
  <c r="F26" i="1"/>
  <c r="F4" i="1"/>
  <c r="C4" i="1"/>
</calcChain>
</file>

<file path=xl/sharedStrings.xml><?xml version="1.0" encoding="utf-8"?>
<sst xmlns="http://schemas.openxmlformats.org/spreadsheetml/2006/main" count="77" uniqueCount="65">
  <si>
    <t>DATE</t>
  </si>
  <si>
    <t>TRUCK REG</t>
  </si>
  <si>
    <t>TRAILER 1 REG</t>
  </si>
  <si>
    <t>TRAILER 2 REG</t>
  </si>
  <si>
    <t>DETAILS</t>
  </si>
  <si>
    <t>CREDIT</t>
  </si>
  <si>
    <t>DEBIT</t>
  </si>
  <si>
    <t>BALANCE</t>
  </si>
  <si>
    <t>USD CASH RECONCILIATIONS</t>
  </si>
  <si>
    <t>RAND CASH RECONCILIATIONS</t>
  </si>
  <si>
    <t xml:space="preserve">FUEL </t>
  </si>
  <si>
    <t>LOCATION</t>
  </si>
  <si>
    <t>LITERS</t>
  </si>
  <si>
    <t>KM</t>
  </si>
  <si>
    <t>CONS.</t>
  </si>
  <si>
    <t>TRIP DISTANCE</t>
  </si>
  <si>
    <t>TRIP SHEET # :-</t>
  </si>
  <si>
    <t>START DATE :-</t>
  </si>
  <si>
    <t>END DATE :-</t>
  </si>
  <si>
    <t>DRIVER :-</t>
  </si>
  <si>
    <t>FLEET # :-</t>
  </si>
  <si>
    <t>ODOMETER :-</t>
  </si>
  <si>
    <t>TRIP A :-</t>
  </si>
  <si>
    <t>PRODUCT :-</t>
  </si>
  <si>
    <t>CD3 # :-</t>
  </si>
  <si>
    <t>CD3 REF :-</t>
  </si>
  <si>
    <t>TRIP B :-</t>
  </si>
  <si>
    <t>TOTAL FUEL :-</t>
  </si>
  <si>
    <t>REF:-</t>
  </si>
  <si>
    <t>RESPONSE</t>
  </si>
  <si>
    <t>AUTH</t>
  </si>
  <si>
    <t>COMMENT / NOTE</t>
  </si>
  <si>
    <t>DEBRIEF QUESTIONS</t>
  </si>
  <si>
    <t># DAYS</t>
  </si>
  <si>
    <t>ATTENTION!!</t>
  </si>
  <si>
    <t>E - CHECK FUEL :-</t>
  </si>
  <si>
    <t>E - CHECK KM :-</t>
  </si>
  <si>
    <t>SAT TRACK KM :-</t>
  </si>
  <si>
    <t>TOTAL KM :-</t>
  </si>
  <si>
    <t>Q1</t>
  </si>
  <si>
    <t>Q2</t>
  </si>
  <si>
    <t>Q3</t>
  </si>
  <si>
    <t>Q4</t>
  </si>
  <si>
    <t>Q5</t>
  </si>
  <si>
    <t>Q6</t>
  </si>
  <si>
    <t/>
  </si>
  <si>
    <t>ODOMETER</t>
  </si>
  <si>
    <t>Did the driver follow instructions / communicate satisfactorily?</t>
  </si>
  <si>
    <t>Was the trip free of any incidents? (breakdowns / accidents / tyres / VID etc)</t>
  </si>
  <si>
    <t>Where loads delivered in good condition? (no shortages / damages etc)</t>
  </si>
  <si>
    <t>Are all Permits / Licences and Insurances valid?</t>
  </si>
  <si>
    <t>Is the Driver Report Book completed correctly?</t>
  </si>
  <si>
    <t>Are the POD's complete?</t>
  </si>
  <si>
    <t>3713 12-7-16 CE05 GUZHA Lsk, ZAM - Jhb, RSA</t>
  </si>
  <si>
    <t>GUZHA</t>
  </si>
  <si>
    <t>CE05</t>
  </si>
  <si>
    <t>AAS 5843</t>
  </si>
  <si>
    <t>AAZ 0021</t>
  </si>
  <si>
    <t>Lsk, ZAM - Jhb, RSA</t>
  </si>
  <si>
    <t>COTTON CAKE</t>
  </si>
  <si>
    <t>TBA</t>
  </si>
  <si>
    <t>Harare</t>
  </si>
  <si>
    <t>TRIP SHEET PETTY CASH</t>
  </si>
  <si>
    <t>Give driver a warning to improve consumption by improving driving habits - or face deductions.</t>
  </si>
  <si>
    <t>DUNCAN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</si>
</sst>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3009]dd\-mmm\-yy;@"/>
    <numFmt numFmtId="165" formatCode="[$$-409]#,##0.00_);[Red]\([$$-409]#,##0.00\)"/>
    <numFmt numFmtId="166" formatCode="[$ZAR]\ #,##0.00"/>
    <numFmt numFmtId="167" formatCode="[$ZAR]\ #,##0.00_);[Red]\([$ZAR]\ #,##0.0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64" fontId="1" fillId="0" borderId="0" xfId="0" applyNumberFormat="1" applyFont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>
      <alignment horizontal="left" vertical="center" indent="5"/>
    </xf>
    <xf numFmtId="0" fontId="0" fillId="0" borderId="2" xfId="0" applyNumberFormat="1" applyBorder="1" applyAlignment="1">
      <alignment horizontal="left" vertical="top" wrapText="1"/>
    </xf>
    <xf numFmtId="0" fontId="0" fillId="0" borderId="4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54"/>
  <sheetViews>
    <sheetView showGridLines="0"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28515625" customWidth="1"/>
    <col min="2" max="2" width="21" customWidth="1"/>
    <col min="3" max="3" width="11.42578125" customWidth="1"/>
    <col min="4" max="4" width="15.85546875" customWidth="1"/>
    <col min="5" max="5" width="18.5703125" customWidth="1"/>
    <col min="6" max="6" width="18" customWidth="1"/>
    <col min="7" max="7" width="16.28515625" customWidth="1"/>
    <col min="8" max="8" width="13" customWidth="1"/>
  </cols>
  <sheetData>
    <row r="1" spans="1:6" ht="20.25" customHeight="1" x14ac:dyDescent="0.25">
      <c r="A1" s="10" t="s">
        <v>16</v>
      </c>
      <c r="B1" s="8">
        <v>3713</v>
      </c>
      <c r="C1" s="11"/>
      <c r="D1" s="10" t="s">
        <v>28</v>
      </c>
      <c r="E1" s="31" t="s">
        <v>53</v>
      </c>
      <c r="F1" s="12"/>
    </row>
    <row r="2" spans="1:6" ht="9.75" customHeight="1" x14ac:dyDescent="0.25">
      <c r="A2" s="10"/>
      <c r="B2" s="10"/>
      <c r="C2" s="10"/>
      <c r="D2" s="10"/>
      <c r="E2" s="10"/>
      <c r="F2" s="13"/>
    </row>
    <row r="3" spans="1:6" ht="18" customHeight="1" x14ac:dyDescent="0.25">
      <c r="A3" s="10" t="s">
        <v>17</v>
      </c>
      <c r="B3" s="14">
        <v>42563</v>
      </c>
      <c r="C3" s="25" t="s">
        <v>33</v>
      </c>
      <c r="D3" s="10" t="s">
        <v>21</v>
      </c>
      <c r="E3" s="30">
        <v>663991</v>
      </c>
      <c r="F3" s="25" t="s">
        <v>15</v>
      </c>
    </row>
    <row r="4" spans="1:6" ht="18" customHeight="1" x14ac:dyDescent="0.25">
      <c r="A4" s="10" t="s">
        <v>18</v>
      </c>
      <c r="B4" s="14"/>
      <c r="C4" s="8" t="str">
        <f>IF(B4="","",B4-B3)</f>
        <v/>
      </c>
      <c r="D4" s="10" t="s">
        <v>21</v>
      </c>
      <c r="E4" s="30"/>
      <c r="F4" s="30" t="str">
        <f>IF(E4="","",E4-E3)</f>
        <v/>
      </c>
    </row>
    <row r="5" spans="1:6" ht="18" customHeight="1" x14ac:dyDescent="0.25">
      <c r="A5" s="10" t="s">
        <v>19</v>
      </c>
      <c r="B5" s="8" t="s">
        <v>54</v>
      </c>
      <c r="C5" s="11"/>
      <c r="D5" s="11"/>
      <c r="E5" s="11"/>
      <c r="F5" s="11"/>
    </row>
    <row r="6" spans="1:6" ht="18" customHeight="1" x14ac:dyDescent="0.25">
      <c r="A6" s="10" t="s">
        <v>20</v>
      </c>
      <c r="B6" s="8" t="s">
        <v>55</v>
      </c>
      <c r="C6" s="11"/>
      <c r="D6" s="15" t="s">
        <v>1</v>
      </c>
      <c r="E6" s="8" t="s">
        <v>56</v>
      </c>
      <c r="F6" s="11"/>
    </row>
    <row r="7" spans="1:6" ht="18" customHeight="1" x14ac:dyDescent="0.25">
      <c r="A7" s="11"/>
      <c r="B7" s="11"/>
      <c r="C7" s="11"/>
      <c r="D7" s="15" t="s">
        <v>2</v>
      </c>
      <c r="E7" s="8" t="s">
        <v>57</v>
      </c>
      <c r="F7" s="11"/>
    </row>
    <row r="8" spans="1:6" ht="18" customHeight="1" x14ac:dyDescent="0.25">
      <c r="A8" s="11"/>
      <c r="B8" s="11"/>
      <c r="C8" s="11"/>
      <c r="D8" s="15" t="s">
        <v>3</v>
      </c>
      <c r="E8" s="8"/>
      <c r="F8" s="11"/>
    </row>
    <row r="9" spans="1:6" ht="9" customHeight="1" x14ac:dyDescent="0.25">
      <c r="A9" s="11"/>
      <c r="B9" s="11"/>
      <c r="C9" s="11"/>
      <c r="D9" s="11"/>
      <c r="E9" s="11"/>
      <c r="F9" s="11"/>
    </row>
    <row r="10" spans="1:6" ht="18" customHeight="1" x14ac:dyDescent="0.25">
      <c r="A10" s="10" t="s">
        <v>22</v>
      </c>
      <c r="B10" s="9" t="s">
        <v>58</v>
      </c>
      <c r="C10" s="12"/>
      <c r="D10" s="10" t="s">
        <v>26</v>
      </c>
      <c r="E10" s="9" t="s">
        <v>60</v>
      </c>
      <c r="F10" s="12"/>
    </row>
    <row r="11" spans="1:6" ht="18" customHeight="1" x14ac:dyDescent="0.25">
      <c r="A11" s="10" t="s">
        <v>23</v>
      </c>
      <c r="B11" s="9" t="s">
        <v>59</v>
      </c>
      <c r="C11" s="12"/>
      <c r="D11" s="10" t="s">
        <v>23</v>
      </c>
      <c r="E11" s="16" t="s">
        <v>60</v>
      </c>
      <c r="F11" s="12"/>
    </row>
    <row r="12" spans="1:6" ht="18" customHeight="1" x14ac:dyDescent="0.25">
      <c r="A12" s="10" t="s">
        <v>24</v>
      </c>
      <c r="B12" s="17">
        <v>1170751</v>
      </c>
      <c r="C12" s="11"/>
      <c r="D12" s="10" t="s">
        <v>24</v>
      </c>
      <c r="E12" s="17">
        <v>1170753</v>
      </c>
      <c r="F12" s="11"/>
    </row>
    <row r="13" spans="1:6" ht="18" customHeight="1" x14ac:dyDescent="0.25">
      <c r="A13" s="10" t="s">
        <v>25</v>
      </c>
      <c r="B13" s="18" t="str">
        <f>IF(B12="","",$B$1&amp;"A")</f>
        <v>3713A</v>
      </c>
      <c r="C13" s="11"/>
      <c r="D13" s="10" t="s">
        <v>25</v>
      </c>
      <c r="E13" s="18" t="str">
        <f>IF(E12="","",$B$1&amp;"B")</f>
        <v>3713B</v>
      </c>
      <c r="F13" s="11"/>
    </row>
    <row r="14" spans="1:6" x14ac:dyDescent="0.25">
      <c r="A14" s="11"/>
      <c r="B14" s="11"/>
      <c r="C14" s="11"/>
      <c r="D14" s="11"/>
      <c r="E14" s="11"/>
      <c r="F14" s="11"/>
    </row>
    <row r="15" spans="1:6" ht="14.25" customHeight="1" x14ac:dyDescent="0.25">
      <c r="A15" s="38" t="s">
        <v>8</v>
      </c>
      <c r="B15" s="38"/>
      <c r="C15" s="38"/>
      <c r="D15" s="38"/>
      <c r="E15" s="38"/>
      <c r="F15" s="38"/>
    </row>
    <row r="16" spans="1:6" x14ac:dyDescent="0.25">
      <c r="A16" s="26" t="s">
        <v>0</v>
      </c>
      <c r="B16" s="39" t="s">
        <v>4</v>
      </c>
      <c r="C16" s="39"/>
      <c r="D16" s="26" t="s">
        <v>5</v>
      </c>
      <c r="E16" s="26" t="s">
        <v>6</v>
      </c>
      <c r="F16" s="26" t="s">
        <v>7</v>
      </c>
    </row>
    <row r="17" spans="1:6" x14ac:dyDescent="0.25">
      <c r="A17" s="14">
        <v>42563</v>
      </c>
      <c r="B17" s="9"/>
      <c r="C17" s="12"/>
      <c r="D17" s="18"/>
      <c r="E17" s="19"/>
      <c r="F17" s="19">
        <v>0</v>
      </c>
    </row>
    <row r="18" spans="1:6" x14ac:dyDescent="0.25">
      <c r="A18" s="14">
        <v>42563</v>
      </c>
      <c r="B18" s="9" t="s">
        <v>62</v>
      </c>
      <c r="C18" s="12"/>
      <c r="D18" s="19">
        <v>40</v>
      </c>
      <c r="E18" s="19"/>
      <c r="F18" s="19">
        <f>F17+D18-E18</f>
        <v>40</v>
      </c>
    </row>
    <row r="19" spans="1:6" x14ac:dyDescent="0.25">
      <c r="A19" s="14"/>
      <c r="B19" s="9"/>
      <c r="C19" s="12"/>
      <c r="D19" s="19"/>
      <c r="E19" s="19"/>
      <c r="F19" s="19"/>
    </row>
    <row r="20" spans="1:6" x14ac:dyDescent="0.25">
      <c r="A20" s="14"/>
      <c r="B20" s="9"/>
      <c r="C20" s="12"/>
      <c r="D20" s="19"/>
      <c r="E20" s="19"/>
      <c r="F20" s="19"/>
    </row>
    <row r="21" spans="1:6" x14ac:dyDescent="0.25">
      <c r="A21" s="14"/>
      <c r="B21" s="9"/>
      <c r="C21" s="12"/>
      <c r="D21" s="19"/>
      <c r="E21" s="19"/>
      <c r="F21" s="19"/>
    </row>
    <row r="22" spans="1:6" x14ac:dyDescent="0.25">
      <c r="A22" s="14"/>
      <c r="B22" s="9"/>
      <c r="C22" s="12"/>
      <c r="D22" s="19"/>
      <c r="E22" s="19"/>
      <c r="F22" s="19"/>
    </row>
    <row r="23" spans="1:6" x14ac:dyDescent="0.25">
      <c r="A23" s="14"/>
      <c r="B23" s="9"/>
      <c r="C23" s="12"/>
      <c r="D23" s="19"/>
      <c r="E23" s="19"/>
      <c r="F23" s="19"/>
    </row>
    <row r="24" spans="1:6" x14ac:dyDescent="0.25">
      <c r="A24" s="14"/>
      <c r="B24" s="9"/>
      <c r="C24" s="12"/>
      <c r="D24" s="19"/>
      <c r="E24" s="19"/>
      <c r="F24" s="19"/>
    </row>
    <row r="25" spans="1:6" x14ac:dyDescent="0.25">
      <c r="A25" s="14"/>
      <c r="B25" s="9"/>
      <c r="C25" s="12"/>
      <c r="D25" s="19"/>
      <c r="E25" s="19"/>
      <c r="F25" s="19"/>
    </row>
    <row r="26" spans="1:6" x14ac:dyDescent="0.25">
      <c r="A26" s="14"/>
      <c r="B26" s="9"/>
      <c r="C26" s="12"/>
      <c r="D26" s="19"/>
      <c r="E26" s="19"/>
      <c r="F26" s="19" t="str">
        <f>IF(A26="","",F22+D26-E26)</f>
        <v/>
      </c>
    </row>
    <row r="27" spans="1:6" x14ac:dyDescent="0.25">
      <c r="A27" s="14"/>
      <c r="B27" s="9"/>
      <c r="C27" s="12"/>
      <c r="D27" s="19"/>
      <c r="E27" s="19"/>
      <c r="F27" s="19" t="str">
        <f t="shared" ref="F27" si="0">IF(A27="","",F26+D27-E27)</f>
        <v/>
      </c>
    </row>
    <row r="28" spans="1:6" ht="20.25" customHeight="1" x14ac:dyDescent="0.25">
      <c r="A28" s="38" t="s">
        <v>9</v>
      </c>
      <c r="B28" s="38"/>
      <c r="C28" s="38"/>
      <c r="D28" s="38"/>
      <c r="E28" s="38"/>
      <c r="F28" s="38"/>
    </row>
    <row r="29" spans="1:6" x14ac:dyDescent="0.25">
      <c r="A29" s="26" t="s">
        <v>0</v>
      </c>
      <c r="B29" s="39" t="s">
        <v>4</v>
      </c>
      <c r="C29" s="39"/>
      <c r="D29" s="26" t="s">
        <v>5</v>
      </c>
      <c r="E29" s="26" t="s">
        <v>6</v>
      </c>
      <c r="F29" s="26" t="s">
        <v>7</v>
      </c>
    </row>
    <row r="30" spans="1:6" x14ac:dyDescent="0.25">
      <c r="A30" s="14">
        <v>42563</v>
      </c>
      <c r="B30" s="9"/>
      <c r="C30" s="12"/>
      <c r="D30" s="27"/>
      <c r="E30" s="27"/>
      <c r="F30" s="27">
        <v>0</v>
      </c>
    </row>
    <row r="31" spans="1:6" x14ac:dyDescent="0.25">
      <c r="A31" s="14"/>
      <c r="B31" s="9"/>
      <c r="C31" s="12"/>
      <c r="D31" s="27"/>
      <c r="E31" s="27"/>
      <c r="F31" s="27"/>
    </row>
    <row r="32" spans="1:6" x14ac:dyDescent="0.25">
      <c r="A32" s="14"/>
      <c r="B32" s="9"/>
      <c r="C32" s="12"/>
      <c r="D32" s="27"/>
      <c r="E32" s="27"/>
      <c r="F32" s="27"/>
    </row>
    <row r="33" spans="1:7" x14ac:dyDescent="0.25">
      <c r="A33" s="14"/>
      <c r="B33" s="9"/>
      <c r="C33" s="12"/>
      <c r="D33" s="27"/>
      <c r="E33" s="27"/>
      <c r="F33" s="27"/>
    </row>
    <row r="34" spans="1:7" x14ac:dyDescent="0.25">
      <c r="A34" s="14"/>
      <c r="B34" s="9"/>
      <c r="C34" s="12"/>
      <c r="D34" s="27"/>
      <c r="E34" s="27"/>
      <c r="F34" s="27"/>
    </row>
    <row r="35" spans="1:7" x14ac:dyDescent="0.25">
      <c r="A35" s="14"/>
      <c r="B35" s="9"/>
      <c r="C35" s="12"/>
      <c r="D35" s="27"/>
      <c r="E35" s="27"/>
      <c r="F35" s="27" t="str">
        <f>IF(A35="","",F33+D35-E35)</f>
        <v/>
      </c>
    </row>
    <row r="36" spans="1:7" x14ac:dyDescent="0.25">
      <c r="A36" s="14"/>
      <c r="B36" s="9"/>
      <c r="C36" s="12"/>
      <c r="D36" s="27"/>
      <c r="E36" s="27"/>
      <c r="F36" s="27" t="str">
        <f t="shared" ref="F36:F39" si="1">IF(A36="","",F35+D36-E36)</f>
        <v/>
      </c>
    </row>
    <row r="37" spans="1:7" x14ac:dyDescent="0.25">
      <c r="A37" s="14"/>
      <c r="B37" s="9"/>
      <c r="C37" s="12"/>
      <c r="D37" s="27"/>
      <c r="E37" s="27"/>
      <c r="F37" s="27" t="str">
        <f t="shared" si="1"/>
        <v/>
      </c>
    </row>
    <row r="38" spans="1:7" x14ac:dyDescent="0.25">
      <c r="A38" s="14"/>
      <c r="B38" s="9"/>
      <c r="C38" s="12"/>
      <c r="D38" s="27"/>
      <c r="E38" s="27"/>
      <c r="F38" s="27" t="str">
        <f t="shared" si="1"/>
        <v/>
      </c>
    </row>
    <row r="39" spans="1:7" ht="9.75" customHeight="1" x14ac:dyDescent="0.25">
      <c r="A39" s="20"/>
      <c r="B39" s="11"/>
      <c r="C39" s="11"/>
      <c r="D39" s="21"/>
      <c r="E39" s="21"/>
      <c r="F39" s="21" t="str">
        <f t="shared" si="1"/>
        <v/>
      </c>
    </row>
    <row r="40" spans="1:7" ht="17.25" customHeight="1" x14ac:dyDescent="0.25">
      <c r="A40" s="11"/>
      <c r="B40" s="15"/>
      <c r="C40" s="25" t="s">
        <v>10</v>
      </c>
      <c r="E40" s="10"/>
      <c r="F40" s="10"/>
      <c r="G40" s="5"/>
    </row>
    <row r="41" spans="1:7" x14ac:dyDescent="0.25">
      <c r="A41" s="26" t="s">
        <v>0</v>
      </c>
      <c r="B41" s="26" t="s">
        <v>11</v>
      </c>
      <c r="C41" s="26" t="s">
        <v>12</v>
      </c>
      <c r="D41" s="26" t="s">
        <v>46</v>
      </c>
      <c r="E41" s="26" t="s">
        <v>13</v>
      </c>
      <c r="F41" s="26" t="s">
        <v>14</v>
      </c>
    </row>
    <row r="42" spans="1:7" x14ac:dyDescent="0.25">
      <c r="A42" s="14">
        <v>42563</v>
      </c>
      <c r="B42" s="18" t="s">
        <v>61</v>
      </c>
      <c r="C42" s="22">
        <v>650</v>
      </c>
      <c r="D42" s="30">
        <v>663991</v>
      </c>
      <c r="E42" s="28"/>
      <c r="F42" s="23"/>
    </row>
    <row r="43" spans="1:7" x14ac:dyDescent="0.25">
      <c r="A43" s="14"/>
      <c r="B43" s="18"/>
      <c r="C43" s="22"/>
      <c r="D43" s="30"/>
      <c r="E43" s="28"/>
      <c r="F43" s="23"/>
    </row>
    <row r="44" spans="1:7" x14ac:dyDescent="0.25">
      <c r="A44" s="14"/>
      <c r="B44" s="18"/>
      <c r="C44" s="22"/>
      <c r="D44" s="30"/>
      <c r="E44" s="28"/>
      <c r="F44" s="23"/>
    </row>
    <row r="45" spans="1:7" x14ac:dyDescent="0.25">
      <c r="A45" s="14"/>
      <c r="B45" s="18"/>
      <c r="C45" s="22"/>
      <c r="D45" s="30"/>
      <c r="E45" s="28"/>
      <c r="F45" s="23"/>
    </row>
    <row r="46" spans="1:7" x14ac:dyDescent="0.25">
      <c r="A46" s="14"/>
      <c r="B46" s="18"/>
      <c r="C46" s="22"/>
      <c r="D46" s="30"/>
      <c r="E46" s="28"/>
      <c r="F46" s="23"/>
    </row>
    <row r="47" spans="1:7" x14ac:dyDescent="0.25">
      <c r="A47" s="14"/>
      <c r="B47" s="18"/>
      <c r="C47" s="22"/>
      <c r="D47" s="30"/>
      <c r="E47" s="28"/>
      <c r="F47" s="23"/>
    </row>
    <row r="48" spans="1:7" x14ac:dyDescent="0.25">
      <c r="A48" s="14"/>
      <c r="B48" s="18"/>
      <c r="C48" s="22"/>
      <c r="D48" s="30"/>
      <c r="E48" s="28"/>
      <c r="F48" s="23"/>
    </row>
    <row r="49" spans="1:6" x14ac:dyDescent="0.25">
      <c r="A49" s="20"/>
      <c r="B49" s="20"/>
      <c r="C49" s="20"/>
      <c r="D49" s="10" t="s">
        <v>37</v>
      </c>
      <c r="E49" s="28"/>
      <c r="F49" s="20"/>
    </row>
    <row r="50" spans="1:6" x14ac:dyDescent="0.25">
      <c r="A50" s="20"/>
      <c r="B50" s="10" t="s">
        <v>27</v>
      </c>
      <c r="C50" s="22" t="str">
        <f>IF(C43="","",(C43+C44+C45+C46+C47+C48))</f>
        <v/>
      </c>
      <c r="D50" s="10" t="s">
        <v>38</v>
      </c>
      <c r="E50" s="22" t="str">
        <f>IF(E43="","",(E43+E44+E45+E46+E47+E48))</f>
        <v/>
      </c>
      <c r="F50" s="24" t="str">
        <f>IF(E50="","",E50/C50)</f>
        <v/>
      </c>
    </row>
    <row r="51" spans="1:6" x14ac:dyDescent="0.25">
      <c r="A51" s="20"/>
      <c r="B51" s="10" t="s">
        <v>35</v>
      </c>
      <c r="C51" s="22"/>
      <c r="D51" s="10" t="s">
        <v>36</v>
      </c>
      <c r="E51" s="28"/>
      <c r="F51" s="29"/>
    </row>
    <row r="52" spans="1:6" x14ac:dyDescent="0.25">
      <c r="A52" s="26" t="s">
        <v>34</v>
      </c>
      <c r="B52" s="15"/>
      <c r="C52" s="11"/>
      <c r="D52" s="11"/>
      <c r="E52" s="11"/>
      <c r="F52" s="11"/>
    </row>
    <row r="53" spans="1:6" ht="57.75" customHeight="1" x14ac:dyDescent="0.25">
      <c r="A53" s="35"/>
      <c r="B53" s="36"/>
      <c r="C53" s="36"/>
      <c r="D53" s="36"/>
      <c r="E53" s="36"/>
      <c r="F53" s="37"/>
    </row>
    <row r="54" spans="1:6" ht="18" customHeight="1" x14ac:dyDescent="0.25"/>
  </sheetData>
  <mergeCells count="5">
    <mergeCell ref="A53:F53"/>
    <mergeCell ref="A15:F15"/>
    <mergeCell ref="B16:C16"/>
    <mergeCell ref="A28:F28"/>
    <mergeCell ref="B29:C29"/>
  </mergeCells>
  <printOptions horizontalCentered="1"/>
  <pageMargins left="0" right="0" top="0" bottom="0" header="0.3" footer="0.3"/>
  <pageSetup paperSize="9" scale="9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68"/>
  <sheetViews>
    <sheetView workbookViewId="0">
      <pane ySplit="9" topLeftCell="A10" activePane="bottomLeft" state="frozen"/>
      <selection pane="bottomLeft" activeCell="C10" sqref="C10"/>
    </sheetView>
  </sheetViews>
  <sheetFormatPr defaultRowHeight="15" x14ac:dyDescent="0.25"/>
  <cols>
    <col min="1" max="1" width="13.42578125" style="4" customWidth="1"/>
    <col min="2" max="2" width="78.42578125" customWidth="1"/>
    <col min="3" max="3" width="14.85546875" style="32" customWidth="1"/>
  </cols>
  <sheetData>
    <row r="1" spans="1:5" s="1" customFormat="1" x14ac:dyDescent="0.25">
      <c r="B1" s="1" t="s">
        <v>32</v>
      </c>
      <c r="C1" s="3" t="s">
        <v>29</v>
      </c>
    </row>
    <row r="2" spans="1:5" x14ac:dyDescent="0.25">
      <c r="A2" s="4" t="s">
        <v>39</v>
      </c>
      <c r="B2" t="s">
        <v>52</v>
      </c>
      <c r="E2" s="34"/>
    </row>
    <row r="3" spans="1:5" x14ac:dyDescent="0.25">
      <c r="A3" s="4" t="s">
        <v>40</v>
      </c>
      <c r="B3" t="s">
        <v>47</v>
      </c>
      <c r="E3" s="34"/>
    </row>
    <row r="4" spans="1:5" x14ac:dyDescent="0.25">
      <c r="A4" s="4" t="s">
        <v>41</v>
      </c>
      <c r="B4" t="s">
        <v>49</v>
      </c>
      <c r="E4" s="34"/>
    </row>
    <row r="5" spans="1:5" x14ac:dyDescent="0.25">
      <c r="A5" s="4" t="s">
        <v>42</v>
      </c>
      <c r="B5" t="s">
        <v>48</v>
      </c>
      <c r="E5" s="34"/>
    </row>
    <row r="6" spans="1:5" x14ac:dyDescent="0.25">
      <c r="A6" s="4" t="s">
        <v>43</v>
      </c>
      <c r="B6" s="7" t="s">
        <v>50</v>
      </c>
      <c r="C6" s="33" t="s">
        <v>45</v>
      </c>
      <c r="E6" s="34"/>
    </row>
    <row r="7" spans="1:5" x14ac:dyDescent="0.25">
      <c r="A7" s="4" t="s">
        <v>44</v>
      </c>
      <c r="B7" s="7" t="s">
        <v>51</v>
      </c>
      <c r="E7" s="34"/>
    </row>
    <row r="8" spans="1:5" x14ac:dyDescent="0.25">
      <c r="B8" s="7"/>
    </row>
    <row r="9" spans="1:5" x14ac:dyDescent="0.25">
      <c r="A9" s="3" t="s">
        <v>0</v>
      </c>
      <c r="B9" s="6" t="s">
        <v>31</v>
      </c>
      <c r="C9" s="6" t="s">
        <v>30</v>
      </c>
    </row>
    <row r="10" spans="1:5" ht="30" x14ac:dyDescent="0.25">
      <c r="A10" s="4">
        <v>42563</v>
      </c>
      <c r="B10" s="2" t="s">
        <v>63</v>
      </c>
      <c r="C10" s="32" t="s">
        <v>64</v>
      </c>
    </row>
    <row r="11" spans="1:5" x14ac:dyDescent="0.25">
      <c r="B11" s="2"/>
    </row>
    <row r="12" spans="1:5" x14ac:dyDescent="0.25">
      <c r="B12" s="2"/>
    </row>
    <row r="13" spans="1:5" x14ac:dyDescent="0.25">
      <c r="B13" s="2"/>
    </row>
    <row r="14" spans="1:5" x14ac:dyDescent="0.25">
      <c r="B14" s="2"/>
    </row>
    <row r="15" spans="1:5" x14ac:dyDescent="0.25">
      <c r="B15" s="2"/>
    </row>
    <row r="16" spans="1:5" x14ac:dyDescent="0.25">
      <c r="B16" s="2"/>
    </row>
    <row r="17" spans="2:2" x14ac:dyDescent="0.25">
      <c r="B17" s="2"/>
    </row>
    <row r="18" spans="2:2" x14ac:dyDescent="0.25">
      <c r="B18" s="2"/>
    </row>
    <row r="19" spans="2:2" x14ac:dyDescent="0.25">
      <c r="B19" s="2"/>
    </row>
    <row r="20" spans="2:2" x14ac:dyDescent="0.25">
      <c r="B20" s="2"/>
    </row>
    <row r="21" spans="2:2" x14ac:dyDescent="0.25">
      <c r="B21" s="2"/>
    </row>
    <row r="22" spans="2:2" x14ac:dyDescent="0.25">
      <c r="B22" s="2"/>
    </row>
    <row r="23" spans="2:2" x14ac:dyDescent="0.25">
      <c r="B23" s="2"/>
    </row>
    <row r="24" spans="2:2" x14ac:dyDescent="0.25">
      <c r="B24" s="2"/>
    </row>
    <row r="25" spans="2:2" x14ac:dyDescent="0.25">
      <c r="B25" s="2"/>
    </row>
    <row r="26" spans="2:2" x14ac:dyDescent="0.25">
      <c r="B26" s="2"/>
    </row>
    <row r="27" spans="2:2" x14ac:dyDescent="0.25">
      <c r="B27" s="2"/>
    </row>
    <row r="28" spans="2:2" x14ac:dyDescent="0.25">
      <c r="B28" s="2"/>
    </row>
    <row r="29" spans="2:2" x14ac:dyDescent="0.25">
      <c r="B29" s="2"/>
    </row>
    <row r="30" spans="2:2" x14ac:dyDescent="0.25">
      <c r="B30" s="2"/>
    </row>
    <row r="31" spans="2:2" x14ac:dyDescent="0.25">
      <c r="B31" s="2"/>
    </row>
    <row r="32" spans="2:2" x14ac:dyDescent="0.25">
      <c r="B32" s="2"/>
    </row>
    <row r="33" spans="2:2" x14ac:dyDescent="0.25">
      <c r="B33" s="2"/>
    </row>
    <row r="34" spans="2:2" x14ac:dyDescent="0.25">
      <c r="B34" s="2"/>
    </row>
    <row r="35" spans="2:2" x14ac:dyDescent="0.25">
      <c r="B35" s="2"/>
    </row>
    <row r="36" spans="2:2" x14ac:dyDescent="0.25">
      <c r="B36" s="2"/>
    </row>
    <row r="37" spans="2:2" x14ac:dyDescent="0.25">
      <c r="B37" s="2"/>
    </row>
    <row r="38" spans="2:2" x14ac:dyDescent="0.25">
      <c r="B38" s="2"/>
    </row>
    <row r="39" spans="2:2" x14ac:dyDescent="0.25">
      <c r="B39" s="2"/>
    </row>
    <row r="40" spans="2:2" x14ac:dyDescent="0.25">
      <c r="B40" s="2"/>
    </row>
    <row r="41" spans="2:2" x14ac:dyDescent="0.25">
      <c r="B41" s="2"/>
    </row>
    <row r="42" spans="2:2" x14ac:dyDescent="0.25">
      <c r="B42" s="2"/>
    </row>
    <row r="43" spans="2:2" x14ac:dyDescent="0.25">
      <c r="B43" s="2"/>
    </row>
    <row r="44" spans="2:2" x14ac:dyDescent="0.25">
      <c r="B44" s="2"/>
    </row>
    <row r="45" spans="2:2" x14ac:dyDescent="0.25">
      <c r="B45" s="2"/>
    </row>
    <row r="46" spans="2:2" x14ac:dyDescent="0.25">
      <c r="B46" s="2"/>
    </row>
    <row r="47" spans="2:2" x14ac:dyDescent="0.25">
      <c r="B47" s="2"/>
    </row>
    <row r="48" spans="2:2" x14ac:dyDescent="0.25">
      <c r="B48" s="2"/>
    </row>
    <row r="49" spans="2:2" x14ac:dyDescent="0.25">
      <c r="B49" s="2"/>
    </row>
    <row r="50" spans="2:2" x14ac:dyDescent="0.25">
      <c r="B50" s="2"/>
    </row>
    <row r="51" spans="2:2" x14ac:dyDescent="0.25">
      <c r="B51" s="2"/>
    </row>
    <row r="52" spans="2:2" x14ac:dyDescent="0.25">
      <c r="B52" s="2"/>
    </row>
    <row r="53" spans="2:2" x14ac:dyDescent="0.25">
      <c r="B53" s="2"/>
    </row>
    <row r="54" spans="2:2" x14ac:dyDescent="0.25">
      <c r="B54" s="2"/>
    </row>
    <row r="55" spans="2:2" x14ac:dyDescent="0.25">
      <c r="B55" s="2"/>
    </row>
    <row r="56" spans="2:2" x14ac:dyDescent="0.25">
      <c r="B56" s="2"/>
    </row>
    <row r="57" spans="2:2" x14ac:dyDescent="0.25">
      <c r="B57" s="2"/>
    </row>
    <row r="58" spans="2:2" x14ac:dyDescent="0.25">
      <c r="B58" s="2"/>
    </row>
    <row r="59" spans="2:2" x14ac:dyDescent="0.25">
      <c r="B59" s="2"/>
    </row>
    <row r="60" spans="2:2" x14ac:dyDescent="0.25">
      <c r="B60" s="2"/>
    </row>
    <row r="61" spans="2:2" x14ac:dyDescent="0.25">
      <c r="B61" s="2"/>
    </row>
    <row r="62" spans="2:2" x14ac:dyDescent="0.25">
      <c r="B62" s="2"/>
    </row>
    <row r="63" spans="2:2" x14ac:dyDescent="0.25">
      <c r="B63" s="2"/>
    </row>
    <row r="64" spans="2:2" x14ac:dyDescent="0.25">
      <c r="B64" s="2"/>
    </row>
    <row r="65" spans="2:2" x14ac:dyDescent="0.25">
      <c r="B65" s="2"/>
    </row>
    <row r="66" spans="2:2" x14ac:dyDescent="0.25">
      <c r="B66" s="2"/>
    </row>
    <row r="67" spans="2:2" x14ac:dyDescent="0.25">
      <c r="B67" s="2"/>
    </row>
    <row r="68" spans="2:2" x14ac:dyDescent="0.25">
      <c r="B68" s="2"/>
    </row>
    <row r="69" spans="2:2" x14ac:dyDescent="0.25">
      <c r="B69" s="2"/>
    </row>
    <row r="70" spans="2:2" x14ac:dyDescent="0.25">
      <c r="B70" s="2"/>
    </row>
    <row r="71" spans="2:2" x14ac:dyDescent="0.25">
      <c r="B71" s="2"/>
    </row>
    <row r="72" spans="2:2" x14ac:dyDescent="0.25">
      <c r="B72" s="2"/>
    </row>
    <row r="73" spans="2:2" x14ac:dyDescent="0.25">
      <c r="B73" s="2"/>
    </row>
    <row r="74" spans="2:2" x14ac:dyDescent="0.25">
      <c r="B74" s="2"/>
    </row>
    <row r="75" spans="2:2" x14ac:dyDescent="0.25">
      <c r="B75" s="2"/>
    </row>
    <row r="76" spans="2:2" x14ac:dyDescent="0.25">
      <c r="B76" s="2"/>
    </row>
    <row r="77" spans="2:2" x14ac:dyDescent="0.25">
      <c r="B77" s="2"/>
    </row>
    <row r="78" spans="2:2" x14ac:dyDescent="0.25">
      <c r="B78" s="2"/>
    </row>
    <row r="79" spans="2:2" x14ac:dyDescent="0.25">
      <c r="B79" s="2"/>
    </row>
    <row r="80" spans="2:2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</sheetData>
  <printOptions horizontalCentered="1" gridLines="1"/>
  <pageMargins left="0" right="0" top="0.5" bottom="0.5" header="0.3" footer="0.3"/>
  <pageSetup paperSize="9" scale="94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 SHEET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cp:lastPrinted>2016-01-20T12:28:57Z</cp:lastPrinted>
  <dcterms:created xsi:type="dcterms:W3CDTF">2016-01-05T10:46:09Z</dcterms:created>
  <dcterms:modified xsi:type="dcterms:W3CDTF">2017-01-20T11:24:17Z</dcterms:modified>
</cp:coreProperties>
</file>