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19875" windowHeight="7470"/>
  </bookViews>
  <sheets>
    <sheet name="COVER" sheetId="1" r:id="rId1"/>
    <sheet name="CD3" sheetId="9" state="hidden" r:id="rId2"/>
    <sheet name="LINK" sheetId="2" state="hidden" r:id="rId3"/>
    <sheet name="LISTS" sheetId="3" state="hidden" r:id="rId4"/>
    <sheet name="DEBTORLOG" sheetId="10" state="hidden" r:id="rId5"/>
    <sheet name="LOG" sheetId="7" state="hidden" r:id="rId6"/>
    <sheet name="REF" sheetId="4" state="hidden" r:id="rId7"/>
    <sheet name="SUMMARY" sheetId="5" state="hidden" r:id="rId8"/>
    <sheet name="ACC" sheetId="6" state="hidden" r:id="rId9"/>
    <sheet name="CREDITORS" sheetId="8" state="hidden" r:id="rId10"/>
  </sheets>
  <definedNames>
    <definedName name="_xlnm._FilterDatabase" localSheetId="1" hidden="1">'CD3'!#REF!</definedName>
    <definedName name="_xlnm._FilterDatabase" localSheetId="4" hidden="1">DEBTORLOG!$A$1:$D$52</definedName>
    <definedName name="_xlnm._FilterDatabase" localSheetId="5" hidden="1">LOG!$A$1:$C$113</definedName>
  </definedNames>
  <calcPr calcId="145621"/>
</workbook>
</file>

<file path=xl/calcChain.xml><?xml version="1.0" encoding="utf-8"?>
<calcChain xmlns="http://schemas.openxmlformats.org/spreadsheetml/2006/main">
  <c r="L150" i="9" l="1"/>
  <c r="L149" i="9"/>
  <c r="L146" i="9"/>
  <c r="L145" i="9"/>
  <c r="L144" i="9"/>
  <c r="L143" i="9"/>
  <c r="L142" i="9"/>
  <c r="L141" i="9"/>
  <c r="L140" i="9"/>
  <c r="L137" i="9"/>
  <c r="L132" i="9"/>
  <c r="L126" i="9"/>
  <c r="B98" i="2" l="1"/>
  <c r="B97" i="2" s="1"/>
  <c r="B99" i="2" s="1"/>
  <c r="B79" i="2" l="1"/>
  <c r="B78" i="2"/>
  <c r="A75" i="2" l="1"/>
  <c r="B75" i="2" s="1"/>
  <c r="C21" i="2" l="1"/>
  <c r="E19" i="2"/>
  <c r="B76" i="2" s="1"/>
  <c r="B73" i="2" s="1"/>
  <c r="D73" i="2" s="1"/>
  <c r="D11" i="2" l="1"/>
  <c r="F26" i="2" s="1"/>
  <c r="D9" i="2" l="1"/>
  <c r="B64" i="2" l="1"/>
  <c r="C63" i="2"/>
  <c r="C62" i="2"/>
  <c r="C64" i="2" l="1"/>
  <c r="D53" i="2"/>
  <c r="B51" i="2" l="1"/>
  <c r="B52" i="2" s="1"/>
  <c r="C50" i="2"/>
  <c r="B92" i="2" l="1"/>
  <c r="D92" i="2" s="1"/>
  <c r="B89" i="2"/>
  <c r="C88" i="2"/>
  <c r="C87" i="2"/>
  <c r="C91" i="2"/>
  <c r="C89" i="2" l="1"/>
  <c r="D19" i="2" l="1"/>
  <c r="D26" i="2" s="1"/>
  <c r="D15" i="2" l="1"/>
  <c r="B54" i="2" l="1"/>
  <c r="B31" i="2" l="1"/>
  <c r="G1" i="2" l="1"/>
  <c r="D1" i="2" s="1"/>
  <c r="E1" i="2" l="1"/>
  <c r="E2" i="2"/>
  <c r="F2" i="2" l="1"/>
  <c r="F1" i="2"/>
  <c r="G31" i="2" l="1"/>
  <c r="F31" i="2"/>
  <c r="E31" i="2"/>
  <c r="D31" i="2"/>
  <c r="C31" i="2"/>
  <c r="B30" i="2" l="1"/>
  <c r="D22" i="2"/>
  <c r="C47" i="2" l="1"/>
  <c r="D45" i="2"/>
  <c r="D44" i="2"/>
  <c r="B41" i="2" l="1"/>
  <c r="D36" i="2"/>
  <c r="D17" i="2" l="1"/>
  <c r="C18" i="2" l="1"/>
  <c r="B26" i="2" l="1"/>
  <c r="D12" i="2" l="1"/>
  <c r="B7" i="2" l="1"/>
  <c r="D7" i="2" s="1"/>
  <c r="C19" i="2" l="1"/>
  <c r="C11" i="2"/>
  <c r="D2" i="2" l="1"/>
  <c r="C4" i="2"/>
  <c r="C3" i="2"/>
  <c r="B1" i="2"/>
  <c r="D4" i="2" l="1"/>
</calcChain>
</file>

<file path=xl/sharedStrings.xml><?xml version="1.0" encoding="utf-8"?>
<sst xmlns="http://schemas.openxmlformats.org/spreadsheetml/2006/main" count="858" uniqueCount="365">
  <si>
    <t>DATE &amp; TIME</t>
  </si>
  <si>
    <t>UF1 SELECTION</t>
  </si>
  <si>
    <t>UF1 DEBIT</t>
  </si>
  <si>
    <t>UF1 CREDIT</t>
  </si>
  <si>
    <t>UF1 ABORT</t>
  </si>
  <si>
    <t>.xlsm</t>
  </si>
  <si>
    <t>UF2 DATE</t>
  </si>
  <si>
    <t>UF2 DETAILS</t>
  </si>
  <si>
    <t>UF2 VALUE</t>
  </si>
  <si>
    <t>UF2 ABORT</t>
  </si>
  <si>
    <t>UF3 DATE</t>
  </si>
  <si>
    <t>UF3 RECEIVED FROM</t>
  </si>
  <si>
    <t>UF3 DETAILS</t>
  </si>
  <si>
    <t>UF3 VALUE</t>
  </si>
  <si>
    <t>UF3 ABORT</t>
  </si>
  <si>
    <t>UF2 ORDER #</t>
  </si>
  <si>
    <t>ADD NEW NAME</t>
  </si>
  <si>
    <t>FORCED UPPER</t>
  </si>
  <si>
    <t>UF3 REF #</t>
  </si>
  <si>
    <t xml:space="preserve">UF2 PAID TO </t>
  </si>
  <si>
    <t>OLD COST EX WIP</t>
  </si>
  <si>
    <t>NEW COST FOR WIP</t>
  </si>
  <si>
    <t>AUTHORIZED BY</t>
  </si>
  <si>
    <t>AUTHORIZED</t>
  </si>
  <si>
    <t>NAME</t>
  </si>
  <si>
    <t>ADDITION TO UF2</t>
  </si>
  <si>
    <t>OTHER NAME</t>
  </si>
  <si>
    <t>OVERHEAD DISTRIBUTION</t>
  </si>
  <si>
    <t>DYNAMIC JOB NUMBER</t>
  </si>
  <si>
    <t>DYNAMIC TO WIP FILES</t>
  </si>
  <si>
    <t>PROPORTIONED VALUE</t>
  </si>
  <si>
    <t>UF4 DEBITED FROM</t>
  </si>
  <si>
    <t>UF4 CREDITED TO</t>
  </si>
  <si>
    <t>UF4 DETAILS</t>
  </si>
  <si>
    <t>UF4 ABORT</t>
  </si>
  <si>
    <t>UF4 DATE</t>
  </si>
  <si>
    <t>DYNAMIC ACC NAME</t>
  </si>
  <si>
    <t>FOR COPY TO SUMMARY</t>
  </si>
  <si>
    <t>TOTAL OF OVERHEADS</t>
  </si>
  <si>
    <t xml:space="preserve"> - Overhead Amounts</t>
  </si>
  <si>
    <t>.xlsx</t>
  </si>
  <si>
    <t>UF5 ABORT</t>
  </si>
  <si>
    <t>UF5 CONFIRM</t>
  </si>
  <si>
    <t>DESCRIPTION</t>
  </si>
  <si>
    <t>BANK CHARGES</t>
  </si>
  <si>
    <t>UF3 PRODUCTION AREA</t>
  </si>
  <si>
    <t>UF2 ACCOUNT CC</t>
  </si>
  <si>
    <t>UF3 ACCOUNT CC</t>
  </si>
  <si>
    <t>UF2 PRODUCTION AREA</t>
  </si>
  <si>
    <t>CONSULTING FEES</t>
  </si>
  <si>
    <t>UF9 DESCRIPTION</t>
  </si>
  <si>
    <t>UF9 ABORT</t>
  </si>
  <si>
    <t>UF9 RAND</t>
  </si>
  <si>
    <t>UF9 USD</t>
  </si>
  <si>
    <t>CURRENCY</t>
  </si>
  <si>
    <t>RAND</t>
  </si>
  <si>
    <t>USD</t>
  </si>
  <si>
    <t>UF4 VALUE DEBITED</t>
  </si>
  <si>
    <t>UF4 VALUE CREDITED</t>
  </si>
  <si>
    <t>UF4 EXCHANGE RATE</t>
  </si>
  <si>
    <t>TRANSACTION</t>
  </si>
  <si>
    <t>CASH WITHDRAWAL</t>
  </si>
  <si>
    <t>COMMISION ON WITHDRAWAL</t>
  </si>
  <si>
    <t>INTEREST APPLICATION</t>
  </si>
  <si>
    <t>INTERMEDITARY TAX</t>
  </si>
  <si>
    <t>SERVICE FEES</t>
  </si>
  <si>
    <t>UF2 VAT #</t>
  </si>
  <si>
    <t>INV DATE</t>
  </si>
  <si>
    <t>COMPANY NAME</t>
  </si>
  <si>
    <t>DETAILS</t>
  </si>
  <si>
    <t>VALUE</t>
  </si>
  <si>
    <t>INV #</t>
  </si>
  <si>
    <t xml:space="preserve"> FOR COST CENTER</t>
  </si>
  <si>
    <t>REFERENCE</t>
  </si>
  <si>
    <t>UF6 SELECTION</t>
  </si>
  <si>
    <t>CASH SALES</t>
  </si>
  <si>
    <t>ELECTRICITY &amp; WATER</t>
  </si>
  <si>
    <t>FUEL</t>
  </si>
  <si>
    <t>PRINTING &amp; STATIONERY</t>
  </si>
  <si>
    <t>SECURITY</t>
  </si>
  <si>
    <t>SUNDRY INCOME</t>
  </si>
  <si>
    <t>COST OF SALES</t>
  </si>
  <si>
    <t>ACCOUNTING FEES</t>
  </si>
  <si>
    <t>BREAKDOWNS</t>
  </si>
  <si>
    <t>CLEANING &amp; TEAS</t>
  </si>
  <si>
    <t>CLEARING FEES</t>
  </si>
  <si>
    <t>DEPRECIATION</t>
  </si>
  <si>
    <t>DIRECTORS EXPENSES</t>
  </si>
  <si>
    <t>DIRECTORS LOANS</t>
  </si>
  <si>
    <t>DONATIONS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</si>
  <si>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</si>
  <si>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</si>
  <si>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</si>
  <si>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</si>
  <si>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</si>
  <si>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</si>
  <si>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</si>
  <si>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</si>
  <si>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</si>
  <si>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</si>
  <si>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</si>
  <si>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</si>
  <si>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</si>
  <si>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</si>
  <si>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</si>
  <si>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</si>
  <si>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</si>
  <si>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</si>
  <si>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TOLLS</t>
  </si>
  <si>
    <t>TRAVEL &amp; ACCOMODATION</t>
  </si>
  <si>
    <t>WORKSHOP MAINTANCE</t>
  </si>
  <si>
    <t>PETTY CASH</t>
  </si>
  <si>
    <t>US$ PETTY CASH</t>
  </si>
  <si>
    <t>MISCELLANEOUS</t>
  </si>
  <si>
    <t>SALES REVENUE</t>
  </si>
  <si>
    <t>AGRILINK ACCOUNTING SERVICES</t>
  </si>
  <si>
    <t>HENDERSON &amp; RUGG</t>
  </si>
  <si>
    <t>MUNELLA WHOLESALERS</t>
  </si>
  <si>
    <t>NEW LIMPOPO BRIDGE</t>
  </si>
  <si>
    <t>VID</t>
  </si>
  <si>
    <t>E- mailing Registration</t>
  </si>
  <si>
    <t xml:space="preserve">31-12-15 AGRILINK ACCOUNTING SERVICES USD60 </t>
  </si>
  <si>
    <t>3rd payment for last quarter</t>
  </si>
  <si>
    <t>Dec and Jan Rent</t>
  </si>
  <si>
    <t>Gatepass</t>
  </si>
  <si>
    <t>COF</t>
  </si>
  <si>
    <t>T3</t>
  </si>
  <si>
    <t xml:space="preserve">31-12-15 VID USD50 </t>
  </si>
  <si>
    <t>ACCOUNT CURRENCY</t>
  </si>
  <si>
    <t>NEW VALUE FOR OPEN LOG</t>
  </si>
  <si>
    <t>OLDVALUE EX OPEN LOG</t>
  </si>
  <si>
    <t>UF2 USD</t>
  </si>
  <si>
    <t>UF2 RAND</t>
  </si>
  <si>
    <t>DUNCAN'S PRIVATE HOOKER FUND</t>
  </si>
  <si>
    <t>LINK EX TRIP SHEETS</t>
  </si>
  <si>
    <t>TRIP</t>
  </si>
  <si>
    <t>TRIP SHEET PETTY CASH</t>
  </si>
  <si>
    <t>LLOYD</t>
  </si>
  <si>
    <t>MAXWELL</t>
  </si>
  <si>
    <t>CLEVER</t>
  </si>
  <si>
    <t>TATENDA</t>
  </si>
  <si>
    <t>GEORGE</t>
  </si>
  <si>
    <t>SAMUEL</t>
  </si>
  <si>
    <t>PATRICK</t>
  </si>
  <si>
    <t>GUZHA</t>
  </si>
  <si>
    <t>HUMPHREY</t>
  </si>
  <si>
    <t>YORAMU</t>
  </si>
  <si>
    <t>SPACE</t>
  </si>
  <si>
    <t xml:space="preserve"> - </t>
  </si>
  <si>
    <t>DEPOSIT VALUE</t>
  </si>
  <si>
    <t>TOTAL CD3 VALUE</t>
  </si>
  <si>
    <t>R</t>
  </si>
  <si>
    <t xml:space="preserve"> x CD3'S</t>
  </si>
  <si>
    <t xml:space="preserve"> </t>
  </si>
  <si>
    <t>UF3 CD# SELECTED</t>
  </si>
  <si>
    <t>total</t>
  </si>
  <si>
    <t xml:space="preserve">CD3 PAYMENT REF - </t>
  </si>
  <si>
    <t xml:space="preserve">  </t>
  </si>
  <si>
    <t>DYNAMIC CD3 #</t>
  </si>
  <si>
    <t>BANK ISSUED</t>
  </si>
  <si>
    <t>CD3 #</t>
  </si>
  <si>
    <t>1ST TS DATE</t>
  </si>
  <si>
    <t>1ST TS REF #</t>
  </si>
  <si>
    <t>2ND TS REF #</t>
  </si>
  <si>
    <t>TRIP DETAILS</t>
  </si>
  <si>
    <t>TRUCK #</t>
  </si>
  <si>
    <t>DRIVER</t>
  </si>
  <si>
    <t>INV / CD3 VALUE</t>
  </si>
  <si>
    <t>DUE DATE</t>
  </si>
  <si>
    <t>DATE PAID</t>
  </si>
  <si>
    <t>3291B</t>
  </si>
  <si>
    <t>JHB - LSK</t>
  </si>
  <si>
    <t>AA5841</t>
  </si>
  <si>
    <t>HRE - JHB</t>
  </si>
  <si>
    <t>ACE0621</t>
  </si>
  <si>
    <t>AAS5838</t>
  </si>
  <si>
    <t>JHB - HRE</t>
  </si>
  <si>
    <t>3299A</t>
  </si>
  <si>
    <t>AAS5843</t>
  </si>
  <si>
    <t xml:space="preserve">DAZIMATA </t>
  </si>
  <si>
    <t>LSK - JHB</t>
  </si>
  <si>
    <t>AAS5841</t>
  </si>
  <si>
    <t>AAS5840</t>
  </si>
  <si>
    <t>AAS5839</t>
  </si>
  <si>
    <t>LSK - HRE</t>
  </si>
  <si>
    <t>3311A</t>
  </si>
  <si>
    <t>ABJ1897</t>
  </si>
  <si>
    <t>EZI</t>
  </si>
  <si>
    <t>ACZ2071</t>
  </si>
  <si>
    <t>KAUNDA</t>
  </si>
  <si>
    <t>3325A</t>
  </si>
  <si>
    <t>3325B</t>
  </si>
  <si>
    <t>3326B</t>
  </si>
  <si>
    <t>3328B</t>
  </si>
  <si>
    <t>3335B</t>
  </si>
  <si>
    <t>3338B</t>
  </si>
  <si>
    <t>BEIRA - LSK</t>
  </si>
  <si>
    <t>ABB5558</t>
  </si>
  <si>
    <t>3341A</t>
  </si>
  <si>
    <t>3361B</t>
  </si>
  <si>
    <t>3363B</t>
  </si>
  <si>
    <t>3365A</t>
  </si>
  <si>
    <t>3367A</t>
  </si>
  <si>
    <t>3367B</t>
  </si>
  <si>
    <t>3372B</t>
  </si>
  <si>
    <t>FERUKA -DRC</t>
  </si>
  <si>
    <t>3373A</t>
  </si>
  <si>
    <t>3373B</t>
  </si>
  <si>
    <t>3374A</t>
  </si>
  <si>
    <t>3378B</t>
  </si>
  <si>
    <t>3381B</t>
  </si>
  <si>
    <t>3385B</t>
  </si>
  <si>
    <t>HRE - LSK</t>
  </si>
  <si>
    <t>3384B</t>
  </si>
  <si>
    <t>3386B</t>
  </si>
  <si>
    <t>3387B</t>
  </si>
  <si>
    <t>3388A</t>
  </si>
  <si>
    <t>3388B</t>
  </si>
  <si>
    <t>3389A</t>
  </si>
  <si>
    <t>3389B</t>
  </si>
  <si>
    <t>3390B</t>
  </si>
  <si>
    <t>3395B</t>
  </si>
  <si>
    <t>3396B</t>
  </si>
  <si>
    <t>3393A</t>
  </si>
  <si>
    <t>3398B</t>
  </si>
  <si>
    <t>3400B</t>
  </si>
  <si>
    <t>3401B</t>
  </si>
  <si>
    <t>3402B</t>
  </si>
  <si>
    <t>3409A</t>
  </si>
  <si>
    <t>3409B</t>
  </si>
  <si>
    <t>3410B</t>
  </si>
  <si>
    <t>3413A</t>
  </si>
  <si>
    <t>3413B</t>
  </si>
  <si>
    <t>3414B</t>
  </si>
  <si>
    <t>3416B</t>
  </si>
  <si>
    <t>3472B</t>
  </si>
  <si>
    <t>3422A</t>
  </si>
  <si>
    <t>3423A</t>
  </si>
  <si>
    <t>3423B</t>
  </si>
  <si>
    <t>3424A</t>
  </si>
  <si>
    <t>3424B</t>
  </si>
  <si>
    <t>3425A</t>
  </si>
  <si>
    <t>3425B</t>
  </si>
  <si>
    <t>3431A</t>
  </si>
  <si>
    <t>3431B</t>
  </si>
  <si>
    <t>3432A</t>
  </si>
  <si>
    <t>3432B</t>
  </si>
  <si>
    <t>3433B</t>
  </si>
  <si>
    <t>3434A</t>
  </si>
  <si>
    <t>3434B</t>
  </si>
  <si>
    <t>3439A</t>
  </si>
  <si>
    <t>3439B</t>
  </si>
  <si>
    <t>3440B</t>
  </si>
  <si>
    <t>3442B</t>
  </si>
  <si>
    <t>3444B</t>
  </si>
  <si>
    <t>3445B</t>
  </si>
  <si>
    <t>3446B</t>
  </si>
  <si>
    <t>3448A</t>
  </si>
  <si>
    <t>3449A</t>
  </si>
  <si>
    <t>3465B</t>
  </si>
  <si>
    <t>3469B</t>
  </si>
  <si>
    <t>3474B</t>
  </si>
  <si>
    <t>3473B</t>
  </si>
  <si>
    <t>3475B</t>
  </si>
  <si>
    <t>3477B</t>
  </si>
  <si>
    <t>3482A</t>
  </si>
  <si>
    <t>3482B</t>
  </si>
  <si>
    <t>3483A</t>
  </si>
  <si>
    <t>3483B</t>
  </si>
  <si>
    <t>3484A</t>
  </si>
  <si>
    <t>3484B</t>
  </si>
  <si>
    <t>3485B</t>
  </si>
  <si>
    <t>3487B</t>
  </si>
  <si>
    <t>3488B</t>
  </si>
  <si>
    <t>3489A</t>
  </si>
  <si>
    <t>3491A</t>
  </si>
  <si>
    <t>3491B</t>
  </si>
  <si>
    <t>3493B</t>
  </si>
  <si>
    <t>3494B</t>
  </si>
  <si>
    <t>3495B</t>
  </si>
  <si>
    <t>3497B</t>
  </si>
  <si>
    <t>3500B</t>
  </si>
  <si>
    <t>3502B</t>
  </si>
  <si>
    <t>3503B</t>
  </si>
  <si>
    <t>3504A</t>
  </si>
  <si>
    <t>3504B</t>
  </si>
  <si>
    <t>3505B</t>
  </si>
  <si>
    <t>3512A</t>
  </si>
  <si>
    <t>3512B</t>
  </si>
  <si>
    <t>3514A</t>
  </si>
  <si>
    <t>3514B</t>
  </si>
  <si>
    <t>3515A</t>
  </si>
  <si>
    <t>3515B</t>
  </si>
  <si>
    <t>3517B</t>
  </si>
  <si>
    <t/>
  </si>
  <si>
    <t>3518B</t>
  </si>
  <si>
    <t>3519B</t>
  </si>
  <si>
    <t>3523A</t>
  </si>
  <si>
    <t>3523B</t>
  </si>
  <si>
    <t>3529B</t>
  </si>
  <si>
    <t>3530B</t>
  </si>
  <si>
    <t>3531B</t>
  </si>
  <si>
    <t>3534B</t>
  </si>
  <si>
    <t>3534C</t>
  </si>
  <si>
    <t>YTC291GP</t>
  </si>
  <si>
    <t>3535B</t>
  </si>
  <si>
    <t>3534D</t>
  </si>
  <si>
    <t>3537A</t>
  </si>
  <si>
    <t>3537B</t>
  </si>
  <si>
    <t>3542A</t>
  </si>
  <si>
    <t>Hre, ZIM - Lsk, ZAM</t>
  </si>
  <si>
    <t>AAS 5838</t>
  </si>
  <si>
    <t>3538A</t>
  </si>
  <si>
    <t>3538B</t>
  </si>
  <si>
    <t xml:space="preserve">JHB - </t>
  </si>
  <si>
    <t>3539A</t>
  </si>
  <si>
    <t>3539B</t>
  </si>
  <si>
    <t>3540B</t>
  </si>
  <si>
    <t>3542B</t>
  </si>
  <si>
    <t>3544A</t>
  </si>
  <si>
    <t>Hre, ZIM - Jhb, RSA</t>
  </si>
  <si>
    <t>ACE 0621</t>
  </si>
  <si>
    <t>3544B</t>
  </si>
  <si>
    <t>3546A</t>
  </si>
  <si>
    <t>3547A</t>
  </si>
  <si>
    <t>Jhb, RSA - Lsk, ZAM</t>
  </si>
  <si>
    <t>ABB 5558</t>
  </si>
  <si>
    <t>3554A</t>
  </si>
  <si>
    <t>3557B</t>
  </si>
  <si>
    <t>TS</t>
  </si>
  <si>
    <t>BUSFARE</t>
  </si>
  <si>
    <t>COURIER</t>
  </si>
  <si>
    <t>LUNCH</t>
  </si>
  <si>
    <t xml:space="preserve">STANBIC </t>
  </si>
  <si>
    <t>TRIP ALLOWANCE</t>
  </si>
  <si>
    <t>Lsk, ZAM - Hre, ZIM</t>
  </si>
  <si>
    <t>3555A</t>
  </si>
  <si>
    <t>Benz - JHB - LSK</t>
  </si>
  <si>
    <t>3554B</t>
  </si>
  <si>
    <t>Beira, MOZ - Lsk, ZAM</t>
  </si>
  <si>
    <t>ADLAN AUTO SPARES</t>
  </si>
  <si>
    <t>3558A</t>
  </si>
  <si>
    <t>3558B</t>
  </si>
  <si>
    <t>3559A</t>
  </si>
  <si>
    <t>3559B</t>
  </si>
  <si>
    <t>Jhb, RSA - Hre, ZIM</t>
  </si>
  <si>
    <t>UF 6 PART PAY</t>
  </si>
  <si>
    <t>31-3-15 VID USD50 INV # T3 BOS USD 25</t>
  </si>
  <si>
    <t>VAT SCHEDULE</t>
  </si>
  <si>
    <t>VALUE EXC</t>
  </si>
  <si>
    <t>VALUE INC</t>
  </si>
  <si>
    <t>VAT VALUE</t>
  </si>
  <si>
    <t>7-12-15 HENDERSON &amp; RUGG USD886  BOS USD386</t>
  </si>
  <si>
    <t xml:space="preserve"> INV VALUE</t>
  </si>
  <si>
    <t>DUE IN / LATE BY</t>
  </si>
  <si>
    <t>UF7 SELECTION</t>
  </si>
  <si>
    <t>UF 7 PART PAY</t>
  </si>
  <si>
    <t>cur creditor</t>
  </si>
  <si>
    <t>cur debtor</t>
  </si>
  <si>
    <t>6-1-16 NEW LIMPOPO BRIDGE USD400  BOS USD200</t>
  </si>
  <si>
    <t>1-1-16 MUNELLA WHOLESALERS USD2400  BOS USD1400</t>
  </si>
  <si>
    <t xml:space="preserve">19-2-16 ADLAN AUTO SPARES USD200 </t>
  </si>
  <si>
    <t>3560A</t>
  </si>
  <si>
    <t>3560B</t>
  </si>
  <si>
    <t>TRIP SHEET 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</si>
</sst>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Z$&quot;#,##0.00_);[Red]\(&quot;Z$&quot;#,##0.00\)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d/m/yyyy\ h:mm"/>
    <numFmt numFmtId="167" formatCode="0.0000"/>
    <numFmt numFmtId="168" formatCode="[$-409]d\-mmm\-yy;@"/>
    <numFmt numFmtId="169" formatCode="mmm"/>
    <numFmt numFmtId="170" formatCode="[$-3009]dd\-mmm\-yy;@"/>
    <numFmt numFmtId="171" formatCode="[$R-1C09]\ #,##0.00;[Red][$R-1C09]\ \-#,##0.00"/>
    <numFmt numFmtId="172" formatCode="[$R-1C09]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3" fillId="0" borderId="0"/>
    <xf numFmtId="165" fontId="2" fillId="0" borderId="0" applyFont="0" applyFill="0" applyBorder="0" applyAlignment="0" applyProtection="0"/>
  </cellStyleXfs>
  <cellXfs count="51">
    <xf numFmtId="0" fontId="0" fillId="0" borderId="0" xfId="0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0" xfId="0" applyFont="1" applyAlignment="1">
      <alignment horizontal="center"/>
    </xf>
    <xf numFmtId="164" fontId="0" fillId="0" borderId="0" xfId="0" applyNumberFormat="1"/>
    <xf numFmtId="17" fontId="0" fillId="0" borderId="0" xfId="0" applyNumberFormat="1"/>
    <xf numFmtId="169" fontId="0" fillId="0" borderId="0" xfId="0" applyNumberFormat="1"/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0" xfId="0" applyFont="1"/>
    <xf numFmtId="164" fontId="0" fillId="0" borderId="0" xfId="1" applyNumberFormat="1" applyFont="1"/>
    <xf numFmtId="164" fontId="1" fillId="0" borderId="0" xfId="1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2" borderId="0" xfId="0" applyFill="1"/>
    <xf numFmtId="4" fontId="0" fillId="0" borderId="0" xfId="0" applyNumberFormat="1"/>
    <xf numFmtId="167" fontId="0" fillId="0" borderId="0" xfId="0" applyNumberFormat="1"/>
    <xf numFmtId="8" fontId="0" fillId="0" borderId="0" xfId="0" applyNumberFormat="1" applyFont="1"/>
    <xf numFmtId="170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/>
    </xf>
    <xf numFmtId="17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7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vertical="center"/>
    </xf>
    <xf numFmtId="171" fontId="0" fillId="0" borderId="0" xfId="0" applyNumberFormat="1" applyFill="1"/>
    <xf numFmtId="170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72" fontId="0" fillId="0" borderId="0" xfId="0" applyNumberFormat="1"/>
    <xf numFmtId="14" fontId="0" fillId="0" borderId="0" xfId="0" applyNumberFormat="1"/>
    <xf numFmtId="0" fontId="0" fillId="0" borderId="0" xfId="0" applyNumberFormat="1"/>
    <xf numFmtId="0" fontId="1" fillId="0" borderId="0" xfId="0" applyFont="1" applyFill="1" applyAlignment="1">
      <alignment horizontal="center"/>
    </xf>
    <xf numFmtId="170" fontId="1" fillId="0" borderId="0" xfId="0" applyNumberFormat="1" applyFont="1" applyFill="1" applyAlignment="1">
      <alignment horizontal="center"/>
    </xf>
    <xf numFmtId="170" fontId="4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171" fontId="1" fillId="0" borderId="0" xfId="0" applyNumberFormat="1" applyFont="1" applyFill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center"/>
    </xf>
    <xf numFmtId="38" fontId="1" fillId="0" borderId="0" xfId="0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</cellXfs>
  <cellStyles count="4">
    <cellStyle name="Currency" xfId="1" builtinId="4"/>
    <cellStyle name="Currency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E15" sqref="E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M150"/>
  <sheetViews>
    <sheetView workbookViewId="0">
      <pane ySplit="1" topLeftCell="A2" activePane="bottomLeft" state="frozen"/>
      <selection sqref="A1:M1048576"/>
      <selection pane="bottomLeft" sqref="A1:M1048576"/>
    </sheetView>
  </sheetViews>
  <sheetFormatPr defaultRowHeight="15" x14ac:dyDescent="0.25"/>
  <cols>
    <col min="1" max="1" width="15" style="28" customWidth="1"/>
    <col min="2" max="2" width="13.28515625" style="7" customWidth="1"/>
    <col min="3" max="3" width="15" style="28" customWidth="1"/>
    <col min="4" max="4" width="12.85546875" style="27" customWidth="1"/>
    <col min="5" max="5" width="12.42578125" style="27" customWidth="1"/>
    <col min="6" max="6" width="20" style="27" customWidth="1"/>
    <col min="7" max="7" width="13.85546875" style="7" customWidth="1"/>
    <col min="8" max="8" width="14.7109375" style="29" customWidth="1"/>
    <col min="9" max="9" width="10.140625" style="33" customWidth="1"/>
    <col min="10" max="10" width="10.140625" style="32" bestFit="1" customWidth="1"/>
    <col min="11" max="11" width="17.7109375" style="31" customWidth="1"/>
    <col min="12" max="16384" width="9.140625" style="12"/>
  </cols>
  <sheetData>
    <row r="1" spans="1:13" s="42" customFormat="1" ht="24" customHeight="1" x14ac:dyDescent="0.25">
      <c r="A1" s="39" t="s">
        <v>159</v>
      </c>
      <c r="B1" s="13" t="s">
        <v>160</v>
      </c>
      <c r="C1" s="23" t="s">
        <v>161</v>
      </c>
      <c r="D1" s="17" t="s">
        <v>162</v>
      </c>
      <c r="E1" s="17" t="s">
        <v>163</v>
      </c>
      <c r="F1" s="17" t="s">
        <v>164</v>
      </c>
      <c r="G1" s="13" t="s">
        <v>165</v>
      </c>
      <c r="H1" s="40" t="s">
        <v>166</v>
      </c>
      <c r="I1" s="37" t="s">
        <v>71</v>
      </c>
      <c r="J1" s="38" t="s">
        <v>67</v>
      </c>
      <c r="K1" s="41" t="s">
        <v>167</v>
      </c>
      <c r="L1" s="42" t="s">
        <v>168</v>
      </c>
      <c r="M1" s="42" t="s">
        <v>169</v>
      </c>
    </row>
    <row r="2" spans="1:13" x14ac:dyDescent="0.25">
      <c r="A2" s="28">
        <v>42081</v>
      </c>
      <c r="B2" s="7">
        <v>1049935</v>
      </c>
      <c r="C2" s="28">
        <v>42153</v>
      </c>
      <c r="D2" s="27" t="s">
        <v>170</v>
      </c>
      <c r="F2" s="27" t="s">
        <v>171</v>
      </c>
      <c r="G2" s="7" t="s">
        <v>172</v>
      </c>
      <c r="H2" s="29" t="s">
        <v>137</v>
      </c>
      <c r="I2" s="33">
        <v>473</v>
      </c>
      <c r="J2" s="32">
        <v>42168</v>
      </c>
      <c r="K2" s="31">
        <v>15000</v>
      </c>
      <c r="L2" s="12">
        <v>42188</v>
      </c>
      <c r="M2" s="12">
        <v>42188</v>
      </c>
    </row>
    <row r="3" spans="1:13" x14ac:dyDescent="0.25">
      <c r="A3" s="28">
        <v>42081</v>
      </c>
      <c r="B3" s="7">
        <v>1049941</v>
      </c>
      <c r="C3" s="28">
        <v>42158</v>
      </c>
      <c r="D3" s="27" t="s">
        <v>177</v>
      </c>
      <c r="F3" s="27" t="s">
        <v>173</v>
      </c>
      <c r="G3" s="7" t="s">
        <v>178</v>
      </c>
      <c r="H3" s="29" t="s">
        <v>179</v>
      </c>
      <c r="I3" s="33">
        <v>477</v>
      </c>
      <c r="J3" s="32">
        <v>42173</v>
      </c>
      <c r="K3" s="31">
        <v>5000</v>
      </c>
      <c r="L3" s="12">
        <v>42188</v>
      </c>
      <c r="M3" s="12">
        <v>42188</v>
      </c>
    </row>
    <row r="4" spans="1:13" x14ac:dyDescent="0.25">
      <c r="A4" s="28">
        <v>42081</v>
      </c>
      <c r="B4" s="7">
        <v>1049948</v>
      </c>
      <c r="C4" s="28">
        <v>42169</v>
      </c>
      <c r="D4" s="27" t="s">
        <v>185</v>
      </c>
      <c r="F4" s="27" t="s">
        <v>173</v>
      </c>
      <c r="G4" s="7" t="s">
        <v>186</v>
      </c>
      <c r="H4" s="29" t="s">
        <v>139</v>
      </c>
      <c r="I4" s="33">
        <v>491</v>
      </c>
      <c r="J4" s="32">
        <v>42184</v>
      </c>
      <c r="K4" s="31">
        <v>3500</v>
      </c>
      <c r="L4" s="12">
        <v>42188</v>
      </c>
      <c r="M4" s="12">
        <v>42188</v>
      </c>
    </row>
    <row r="5" spans="1:13" x14ac:dyDescent="0.25">
      <c r="A5" s="28">
        <v>42157</v>
      </c>
      <c r="B5" s="7">
        <v>1060159</v>
      </c>
      <c r="C5" s="28">
        <v>42185</v>
      </c>
      <c r="D5" s="27" t="s">
        <v>190</v>
      </c>
      <c r="F5" s="27" t="s">
        <v>173</v>
      </c>
      <c r="G5" s="7" t="s">
        <v>174</v>
      </c>
      <c r="H5" s="29" t="s">
        <v>140</v>
      </c>
      <c r="I5" s="33">
        <v>534</v>
      </c>
      <c r="J5" s="32">
        <v>42200</v>
      </c>
      <c r="K5" s="31">
        <v>5000</v>
      </c>
      <c r="L5" s="12">
        <v>42217</v>
      </c>
      <c r="M5" s="12">
        <v>42217</v>
      </c>
    </row>
    <row r="6" spans="1:13" x14ac:dyDescent="0.25">
      <c r="A6" s="28">
        <v>42157</v>
      </c>
      <c r="B6" s="7">
        <v>1060160</v>
      </c>
      <c r="C6" s="28">
        <v>42185</v>
      </c>
      <c r="D6" s="27" t="s">
        <v>191</v>
      </c>
      <c r="F6" s="27" t="s">
        <v>171</v>
      </c>
      <c r="G6" s="7" t="s">
        <v>174</v>
      </c>
      <c r="H6" s="29" t="s">
        <v>140</v>
      </c>
      <c r="I6" s="33">
        <v>498</v>
      </c>
      <c r="J6" s="32">
        <v>42200</v>
      </c>
      <c r="K6" s="31">
        <v>15000</v>
      </c>
      <c r="L6" s="12">
        <v>42217</v>
      </c>
      <c r="M6" s="12">
        <v>42217</v>
      </c>
    </row>
    <row r="7" spans="1:13" x14ac:dyDescent="0.25">
      <c r="A7" s="28">
        <v>42157</v>
      </c>
      <c r="B7" s="7">
        <v>1060161</v>
      </c>
      <c r="C7" s="28">
        <v>42185</v>
      </c>
      <c r="D7" s="27" t="s">
        <v>192</v>
      </c>
      <c r="F7" s="27" t="s">
        <v>176</v>
      </c>
      <c r="G7" s="7" t="s">
        <v>178</v>
      </c>
      <c r="H7" s="29" t="s">
        <v>179</v>
      </c>
      <c r="I7" s="33">
        <v>499</v>
      </c>
      <c r="J7" s="32">
        <v>42200</v>
      </c>
      <c r="K7" s="31">
        <v>12000</v>
      </c>
      <c r="L7" s="12">
        <v>42217</v>
      </c>
      <c r="M7" s="12">
        <v>42217</v>
      </c>
    </row>
    <row r="8" spans="1:13" x14ac:dyDescent="0.25">
      <c r="A8" s="28">
        <v>42157</v>
      </c>
      <c r="B8" s="7">
        <v>1060162</v>
      </c>
      <c r="C8" s="28">
        <v>42186</v>
      </c>
      <c r="D8" s="27" t="s">
        <v>193</v>
      </c>
      <c r="F8" s="27" t="s">
        <v>171</v>
      </c>
      <c r="G8" s="7" t="s">
        <v>182</v>
      </c>
      <c r="H8" s="29" t="s">
        <v>143</v>
      </c>
      <c r="I8" s="33">
        <v>500</v>
      </c>
      <c r="J8" s="32">
        <v>42201</v>
      </c>
      <c r="K8" s="31">
        <v>15000</v>
      </c>
      <c r="L8" s="12">
        <v>42217</v>
      </c>
      <c r="M8" s="12">
        <v>42217</v>
      </c>
    </row>
    <row r="9" spans="1:13" x14ac:dyDescent="0.25">
      <c r="A9" s="28">
        <v>42157</v>
      </c>
      <c r="B9" s="7">
        <v>1060165</v>
      </c>
      <c r="C9" s="28">
        <v>42192</v>
      </c>
      <c r="D9" s="27" t="s">
        <v>194</v>
      </c>
      <c r="F9" s="27" t="s">
        <v>184</v>
      </c>
      <c r="G9" s="7" t="s">
        <v>183</v>
      </c>
      <c r="H9" s="29" t="s">
        <v>142</v>
      </c>
      <c r="I9" s="33">
        <v>503</v>
      </c>
      <c r="J9" s="32">
        <v>42207</v>
      </c>
      <c r="K9" s="31">
        <v>4000</v>
      </c>
      <c r="L9" s="12">
        <v>42217</v>
      </c>
      <c r="M9" s="12">
        <v>42217</v>
      </c>
    </row>
    <row r="10" spans="1:13" x14ac:dyDescent="0.25">
      <c r="A10" s="28">
        <v>42157</v>
      </c>
      <c r="B10" s="7">
        <v>1060168</v>
      </c>
      <c r="C10" s="28">
        <v>42196</v>
      </c>
      <c r="D10" s="27" t="s">
        <v>195</v>
      </c>
      <c r="F10" s="27" t="s">
        <v>196</v>
      </c>
      <c r="G10" s="7" t="s">
        <v>197</v>
      </c>
      <c r="H10" s="29" t="s">
        <v>138</v>
      </c>
      <c r="I10" s="33">
        <v>506</v>
      </c>
      <c r="J10" s="32">
        <v>42211</v>
      </c>
      <c r="K10" s="31">
        <v>9000</v>
      </c>
      <c r="L10" s="12">
        <v>42248</v>
      </c>
      <c r="M10" s="12">
        <v>42248</v>
      </c>
    </row>
    <row r="11" spans="1:13" x14ac:dyDescent="0.25">
      <c r="A11" s="28">
        <v>42157</v>
      </c>
      <c r="B11" s="7">
        <v>1060169</v>
      </c>
      <c r="C11" s="28">
        <v>42200</v>
      </c>
      <c r="D11" s="27" t="s">
        <v>198</v>
      </c>
      <c r="F11" s="27" t="s">
        <v>173</v>
      </c>
      <c r="G11" s="7" t="s">
        <v>178</v>
      </c>
      <c r="H11" s="29" t="s">
        <v>179</v>
      </c>
      <c r="I11" s="33">
        <v>507</v>
      </c>
      <c r="J11" s="32">
        <v>42215</v>
      </c>
      <c r="K11" s="31">
        <v>5000</v>
      </c>
      <c r="L11" s="12">
        <v>42188</v>
      </c>
      <c r="M11" s="12">
        <v>42188</v>
      </c>
    </row>
    <row r="12" spans="1:13" x14ac:dyDescent="0.25">
      <c r="A12" s="28">
        <v>42157</v>
      </c>
      <c r="B12" s="7">
        <v>1060184</v>
      </c>
      <c r="C12" s="28">
        <v>42214</v>
      </c>
      <c r="D12" s="27" t="s">
        <v>199</v>
      </c>
      <c r="F12" s="27" t="s">
        <v>176</v>
      </c>
      <c r="G12" s="7" t="s">
        <v>178</v>
      </c>
      <c r="H12" s="29" t="s">
        <v>144</v>
      </c>
      <c r="I12" s="33">
        <v>522</v>
      </c>
      <c r="J12" s="32">
        <v>42229</v>
      </c>
      <c r="K12" s="31">
        <v>12000</v>
      </c>
      <c r="L12" s="12">
        <v>42248</v>
      </c>
      <c r="M12" s="12">
        <v>42248</v>
      </c>
    </row>
    <row r="13" spans="1:13" x14ac:dyDescent="0.25">
      <c r="A13" s="28">
        <v>42157</v>
      </c>
      <c r="B13" s="7">
        <v>1060186</v>
      </c>
      <c r="C13" s="28">
        <v>42218</v>
      </c>
      <c r="D13" s="27" t="s">
        <v>200</v>
      </c>
      <c r="F13" s="27" t="s">
        <v>184</v>
      </c>
      <c r="G13" s="7" t="s">
        <v>182</v>
      </c>
      <c r="H13" s="29" t="s">
        <v>143</v>
      </c>
      <c r="I13" s="33">
        <v>524</v>
      </c>
      <c r="J13" s="32">
        <v>42233</v>
      </c>
      <c r="K13" s="31">
        <v>4000</v>
      </c>
      <c r="L13" s="12">
        <v>42248</v>
      </c>
      <c r="M13" s="12">
        <v>42248</v>
      </c>
    </row>
    <row r="14" spans="1:13" x14ac:dyDescent="0.25">
      <c r="A14" s="28">
        <v>42157</v>
      </c>
      <c r="B14" s="7">
        <v>1060187</v>
      </c>
      <c r="C14" s="28">
        <v>42219</v>
      </c>
      <c r="D14" s="27" t="s">
        <v>201</v>
      </c>
      <c r="F14" s="27" t="s">
        <v>173</v>
      </c>
      <c r="G14" s="7" t="s">
        <v>174</v>
      </c>
      <c r="H14" s="29" t="s">
        <v>140</v>
      </c>
      <c r="I14" s="33">
        <v>525</v>
      </c>
      <c r="J14" s="32">
        <v>42234</v>
      </c>
      <c r="K14" s="31">
        <v>5000</v>
      </c>
      <c r="L14" s="12">
        <v>42248</v>
      </c>
      <c r="M14" s="12">
        <v>42248</v>
      </c>
    </row>
    <row r="15" spans="1:13" x14ac:dyDescent="0.25">
      <c r="A15" s="28">
        <v>42157</v>
      </c>
      <c r="B15" s="7">
        <v>1060190</v>
      </c>
      <c r="C15" s="28">
        <v>42220</v>
      </c>
      <c r="D15" s="27" t="s">
        <v>202</v>
      </c>
      <c r="F15" s="27" t="s">
        <v>173</v>
      </c>
      <c r="G15" s="7" t="s">
        <v>186</v>
      </c>
      <c r="H15" s="29" t="s">
        <v>139</v>
      </c>
      <c r="I15" s="33">
        <v>528</v>
      </c>
      <c r="J15" s="32">
        <v>42235</v>
      </c>
      <c r="K15" s="31">
        <v>3500</v>
      </c>
      <c r="L15" s="12">
        <v>42248</v>
      </c>
      <c r="M15" s="12">
        <v>42248</v>
      </c>
    </row>
    <row r="16" spans="1:13" x14ac:dyDescent="0.25">
      <c r="A16" s="28">
        <v>42157</v>
      </c>
      <c r="B16" s="7">
        <v>1060191</v>
      </c>
      <c r="C16" s="28">
        <v>42220</v>
      </c>
      <c r="D16" s="27" t="s">
        <v>203</v>
      </c>
      <c r="F16" s="27" t="s">
        <v>176</v>
      </c>
      <c r="G16" s="7" t="s">
        <v>186</v>
      </c>
      <c r="H16" s="29" t="s">
        <v>139</v>
      </c>
      <c r="I16" s="33">
        <v>535</v>
      </c>
      <c r="J16" s="32">
        <v>42235</v>
      </c>
      <c r="K16" s="31">
        <v>8000</v>
      </c>
      <c r="L16" s="12">
        <v>42248</v>
      </c>
      <c r="M16" s="12">
        <v>42248</v>
      </c>
    </row>
    <row r="17" spans="1:13" x14ac:dyDescent="0.25">
      <c r="A17" s="28">
        <v>42157</v>
      </c>
      <c r="B17" s="7">
        <v>1060192</v>
      </c>
      <c r="C17" s="28">
        <v>42228</v>
      </c>
      <c r="D17" s="27" t="s">
        <v>204</v>
      </c>
      <c r="F17" s="27" t="s">
        <v>205</v>
      </c>
      <c r="G17" s="7" t="s">
        <v>197</v>
      </c>
      <c r="H17" s="29" t="s">
        <v>138</v>
      </c>
      <c r="I17" s="33">
        <v>529</v>
      </c>
      <c r="J17" s="32">
        <v>42243</v>
      </c>
      <c r="K17" s="31">
        <v>7000</v>
      </c>
      <c r="L17" s="12">
        <v>42248</v>
      </c>
      <c r="M17" s="12">
        <v>42248</v>
      </c>
    </row>
    <row r="18" spans="1:13" x14ac:dyDescent="0.25">
      <c r="A18" s="28">
        <v>42157</v>
      </c>
      <c r="B18" s="7">
        <v>1060193</v>
      </c>
      <c r="C18" s="28">
        <v>42229</v>
      </c>
      <c r="D18" s="27" t="s">
        <v>206</v>
      </c>
      <c r="F18" s="27" t="s">
        <v>173</v>
      </c>
      <c r="G18" s="7" t="s">
        <v>175</v>
      </c>
      <c r="H18" s="29" t="s">
        <v>141</v>
      </c>
      <c r="I18" s="33">
        <v>530</v>
      </c>
      <c r="J18" s="32">
        <v>42244</v>
      </c>
      <c r="K18" s="31">
        <v>5000</v>
      </c>
      <c r="L18" s="12">
        <v>42248</v>
      </c>
      <c r="M18" s="12">
        <v>42248</v>
      </c>
    </row>
    <row r="19" spans="1:13" x14ac:dyDescent="0.25">
      <c r="A19" s="28">
        <v>42157</v>
      </c>
      <c r="B19" s="7">
        <v>1060194</v>
      </c>
      <c r="C19" s="28">
        <v>42229</v>
      </c>
      <c r="D19" s="27" t="s">
        <v>207</v>
      </c>
      <c r="F19" s="27" t="s">
        <v>171</v>
      </c>
      <c r="G19" s="7" t="s">
        <v>175</v>
      </c>
      <c r="H19" s="29" t="s">
        <v>141</v>
      </c>
      <c r="I19" s="33">
        <v>536</v>
      </c>
      <c r="J19" s="32">
        <v>42244</v>
      </c>
      <c r="K19" s="31">
        <v>15000</v>
      </c>
      <c r="L19" s="12">
        <v>42248</v>
      </c>
      <c r="M19" s="12">
        <v>42248</v>
      </c>
    </row>
    <row r="20" spans="1:13" x14ac:dyDescent="0.25">
      <c r="A20" s="28">
        <v>42157</v>
      </c>
      <c r="B20" s="7">
        <v>1060195</v>
      </c>
      <c r="C20" s="28">
        <v>42229</v>
      </c>
      <c r="D20" s="27" t="s">
        <v>208</v>
      </c>
      <c r="F20" s="27" t="s">
        <v>173</v>
      </c>
      <c r="G20" s="7" t="s">
        <v>178</v>
      </c>
      <c r="H20" s="29" t="s">
        <v>144</v>
      </c>
      <c r="I20" s="33">
        <v>531</v>
      </c>
      <c r="J20" s="32">
        <v>42244</v>
      </c>
      <c r="K20" s="31">
        <v>5000</v>
      </c>
      <c r="L20" s="12">
        <v>42248</v>
      </c>
      <c r="M20" s="12">
        <v>42248</v>
      </c>
    </row>
    <row r="21" spans="1:13" x14ac:dyDescent="0.25">
      <c r="A21" s="28">
        <v>42157</v>
      </c>
      <c r="B21" s="7">
        <v>1060197</v>
      </c>
      <c r="C21" s="28">
        <v>42230</v>
      </c>
      <c r="D21" s="27" t="s">
        <v>187</v>
      </c>
      <c r="F21" s="27" t="s">
        <v>176</v>
      </c>
      <c r="G21" s="7" t="s">
        <v>188</v>
      </c>
      <c r="H21" s="29" t="s">
        <v>189</v>
      </c>
      <c r="I21" s="33">
        <v>533</v>
      </c>
      <c r="J21" s="32">
        <v>42245</v>
      </c>
      <c r="K21" s="31">
        <v>12000</v>
      </c>
      <c r="L21" s="12">
        <v>42248</v>
      </c>
      <c r="M21" s="12">
        <v>42248</v>
      </c>
    </row>
    <row r="22" spans="1:13" x14ac:dyDescent="0.25">
      <c r="A22" s="28">
        <v>42157</v>
      </c>
      <c r="B22" s="7">
        <v>1060200</v>
      </c>
      <c r="C22" s="28">
        <v>42235</v>
      </c>
      <c r="D22" s="27" t="s">
        <v>209</v>
      </c>
      <c r="F22" s="27" t="s">
        <v>171</v>
      </c>
      <c r="G22" s="7" t="s">
        <v>181</v>
      </c>
      <c r="H22" s="29" t="s">
        <v>137</v>
      </c>
      <c r="I22" s="33">
        <v>540</v>
      </c>
      <c r="J22" s="32">
        <v>42250</v>
      </c>
      <c r="K22" s="31">
        <v>15000</v>
      </c>
      <c r="L22" s="12">
        <v>42249</v>
      </c>
      <c r="M22" s="12">
        <v>42249</v>
      </c>
    </row>
    <row r="23" spans="1:13" x14ac:dyDescent="0.25">
      <c r="A23" s="28">
        <v>42230</v>
      </c>
      <c r="B23" s="7">
        <v>1081801</v>
      </c>
      <c r="C23" s="28">
        <v>42237</v>
      </c>
      <c r="D23" s="27" t="s">
        <v>210</v>
      </c>
      <c r="F23" s="27" t="s">
        <v>171</v>
      </c>
      <c r="G23" s="7" t="s">
        <v>183</v>
      </c>
      <c r="H23" s="29" t="s">
        <v>142</v>
      </c>
      <c r="I23" s="33">
        <v>541</v>
      </c>
      <c r="J23" s="32">
        <v>42252</v>
      </c>
      <c r="K23" s="31">
        <v>15000</v>
      </c>
      <c r="L23" s="12">
        <v>42249</v>
      </c>
      <c r="M23" s="12">
        <v>42249</v>
      </c>
    </row>
    <row r="24" spans="1:13" x14ac:dyDescent="0.25">
      <c r="A24" s="28">
        <v>42230</v>
      </c>
      <c r="B24" s="7">
        <v>1081802</v>
      </c>
      <c r="C24" s="28">
        <v>42238</v>
      </c>
      <c r="D24" s="27" t="s">
        <v>187</v>
      </c>
      <c r="F24" s="27" t="s">
        <v>176</v>
      </c>
      <c r="G24" s="7" t="s">
        <v>188</v>
      </c>
      <c r="H24" s="29" t="s">
        <v>189</v>
      </c>
      <c r="I24" s="33">
        <v>539</v>
      </c>
      <c r="J24" s="32">
        <v>42253</v>
      </c>
      <c r="K24" s="31">
        <v>12000</v>
      </c>
      <c r="L24" s="12">
        <v>42248</v>
      </c>
      <c r="M24" s="12">
        <v>42248</v>
      </c>
    </row>
    <row r="25" spans="1:13" x14ac:dyDescent="0.25">
      <c r="A25" s="28">
        <v>42230</v>
      </c>
      <c r="B25" s="7">
        <v>1081803</v>
      </c>
      <c r="C25" s="28">
        <v>42238</v>
      </c>
      <c r="D25" s="27" t="s">
        <v>211</v>
      </c>
      <c r="F25" s="27" t="s">
        <v>196</v>
      </c>
      <c r="G25" s="7" t="s">
        <v>197</v>
      </c>
      <c r="H25" s="29" t="s">
        <v>138</v>
      </c>
      <c r="I25" s="33">
        <v>542</v>
      </c>
      <c r="J25" s="32">
        <v>42253</v>
      </c>
      <c r="K25" s="31">
        <v>9000</v>
      </c>
      <c r="L25" s="12">
        <v>42249</v>
      </c>
      <c r="M25" s="12">
        <v>42249</v>
      </c>
    </row>
    <row r="26" spans="1:13" x14ac:dyDescent="0.25">
      <c r="A26" s="28">
        <v>42230</v>
      </c>
      <c r="B26" s="7">
        <v>1081805</v>
      </c>
      <c r="C26" s="28">
        <v>42240</v>
      </c>
      <c r="D26" s="27" t="s">
        <v>213</v>
      </c>
      <c r="F26" s="27" t="s">
        <v>184</v>
      </c>
      <c r="G26" s="7" t="s">
        <v>186</v>
      </c>
      <c r="H26" s="29" t="s">
        <v>139</v>
      </c>
      <c r="I26" s="33">
        <v>544</v>
      </c>
      <c r="J26" s="32">
        <v>42255</v>
      </c>
      <c r="K26" s="31">
        <v>2500</v>
      </c>
      <c r="L26" s="12">
        <v>42248</v>
      </c>
      <c r="M26" s="12">
        <v>42248</v>
      </c>
    </row>
    <row r="27" spans="1:13" x14ac:dyDescent="0.25">
      <c r="A27" s="28">
        <v>42230</v>
      </c>
      <c r="B27" s="7">
        <v>1081806</v>
      </c>
      <c r="C27" s="28">
        <v>42241</v>
      </c>
      <c r="D27" s="27" t="s">
        <v>214</v>
      </c>
      <c r="F27" s="27" t="s">
        <v>184</v>
      </c>
      <c r="G27" s="7" t="s">
        <v>175</v>
      </c>
      <c r="H27" s="29" t="s">
        <v>141</v>
      </c>
      <c r="I27" s="33">
        <v>545</v>
      </c>
      <c r="J27" s="32">
        <v>42256</v>
      </c>
      <c r="K27" s="31">
        <v>4000</v>
      </c>
      <c r="L27" s="12">
        <v>42248</v>
      </c>
      <c r="M27" s="12">
        <v>42248</v>
      </c>
    </row>
    <row r="28" spans="1:13" x14ac:dyDescent="0.25">
      <c r="A28" s="28">
        <v>42230</v>
      </c>
      <c r="B28" s="7">
        <v>1081807</v>
      </c>
      <c r="C28" s="28">
        <v>42241</v>
      </c>
      <c r="D28" s="27" t="s">
        <v>215</v>
      </c>
      <c r="F28" s="27" t="s">
        <v>171</v>
      </c>
      <c r="G28" s="7" t="s">
        <v>174</v>
      </c>
      <c r="H28" s="29" t="s">
        <v>140</v>
      </c>
      <c r="I28" s="33">
        <v>546</v>
      </c>
      <c r="J28" s="32">
        <v>42256</v>
      </c>
      <c r="K28" s="31">
        <v>15000</v>
      </c>
      <c r="L28" s="12">
        <v>42249</v>
      </c>
      <c r="M28" s="12">
        <v>42249</v>
      </c>
    </row>
    <row r="29" spans="1:13" x14ac:dyDescent="0.25">
      <c r="A29" s="28">
        <v>42230</v>
      </c>
      <c r="B29" s="7">
        <v>1081808</v>
      </c>
      <c r="C29" s="28">
        <v>42242</v>
      </c>
      <c r="D29" s="27" t="s">
        <v>216</v>
      </c>
      <c r="F29" s="27" t="s">
        <v>173</v>
      </c>
      <c r="G29" s="7" t="s">
        <v>178</v>
      </c>
      <c r="H29" s="29" t="s">
        <v>144</v>
      </c>
      <c r="I29" s="33">
        <v>547</v>
      </c>
      <c r="J29" s="32">
        <v>42257</v>
      </c>
      <c r="K29" s="31">
        <v>5000</v>
      </c>
      <c r="L29" s="12">
        <v>42249</v>
      </c>
      <c r="M29" s="12">
        <v>42249</v>
      </c>
    </row>
    <row r="30" spans="1:13" x14ac:dyDescent="0.25">
      <c r="A30" s="28">
        <v>42230</v>
      </c>
      <c r="B30" s="7">
        <v>1081809</v>
      </c>
      <c r="C30" s="28">
        <v>42242</v>
      </c>
      <c r="D30" s="27" t="s">
        <v>217</v>
      </c>
      <c r="F30" s="27" t="s">
        <v>176</v>
      </c>
      <c r="G30" s="7" t="s">
        <v>178</v>
      </c>
      <c r="H30" s="29" t="s">
        <v>144</v>
      </c>
      <c r="I30" s="33">
        <v>548</v>
      </c>
      <c r="J30" s="32">
        <v>42257</v>
      </c>
      <c r="K30" s="31">
        <v>12000</v>
      </c>
      <c r="L30" s="12">
        <v>42249</v>
      </c>
      <c r="M30" s="12">
        <v>42249</v>
      </c>
    </row>
    <row r="31" spans="1:13" x14ac:dyDescent="0.25">
      <c r="A31" s="28">
        <v>42230</v>
      </c>
      <c r="B31" s="7">
        <v>1081810</v>
      </c>
      <c r="C31" s="28">
        <v>42242</v>
      </c>
      <c r="D31" s="27" t="s">
        <v>218</v>
      </c>
      <c r="F31" s="27" t="s">
        <v>173</v>
      </c>
      <c r="G31" s="7" t="s">
        <v>182</v>
      </c>
      <c r="H31" s="29" t="s">
        <v>179</v>
      </c>
      <c r="I31" s="33">
        <v>549</v>
      </c>
      <c r="J31" s="32">
        <v>42257</v>
      </c>
      <c r="K31" s="31">
        <v>5000</v>
      </c>
      <c r="L31" s="12">
        <v>42248</v>
      </c>
      <c r="M31" s="12">
        <v>42248</v>
      </c>
    </row>
    <row r="32" spans="1:13" x14ac:dyDescent="0.25">
      <c r="A32" s="28">
        <v>42230</v>
      </c>
      <c r="B32" s="7">
        <v>1081811</v>
      </c>
      <c r="C32" s="28">
        <v>42242</v>
      </c>
      <c r="D32" s="27" t="s">
        <v>219</v>
      </c>
      <c r="F32" s="27" t="s">
        <v>171</v>
      </c>
      <c r="G32" s="7" t="s">
        <v>182</v>
      </c>
      <c r="H32" s="29" t="s">
        <v>179</v>
      </c>
      <c r="I32" s="33">
        <v>550</v>
      </c>
      <c r="J32" s="32">
        <v>42257</v>
      </c>
      <c r="K32" s="31">
        <v>15000</v>
      </c>
      <c r="L32" s="12">
        <v>42249</v>
      </c>
      <c r="M32" s="12">
        <v>42249</v>
      </c>
    </row>
    <row r="33" spans="1:13" x14ac:dyDescent="0.25">
      <c r="A33" s="28">
        <v>42230</v>
      </c>
      <c r="B33" s="7">
        <v>1081812</v>
      </c>
      <c r="C33" s="28">
        <v>42242</v>
      </c>
      <c r="D33" s="27" t="s">
        <v>220</v>
      </c>
      <c r="F33" s="27" t="s">
        <v>171</v>
      </c>
      <c r="G33" s="7" t="s">
        <v>186</v>
      </c>
      <c r="H33" s="29" t="s">
        <v>139</v>
      </c>
      <c r="I33" s="33">
        <v>551</v>
      </c>
      <c r="J33" s="32">
        <v>42257</v>
      </c>
      <c r="K33" s="31">
        <v>10000</v>
      </c>
      <c r="L33" s="12">
        <v>42249</v>
      </c>
      <c r="M33" s="12">
        <v>42249</v>
      </c>
    </row>
    <row r="34" spans="1:13" x14ac:dyDescent="0.25">
      <c r="A34" s="28">
        <v>42230</v>
      </c>
      <c r="B34" s="7">
        <v>1081813</v>
      </c>
      <c r="C34" s="28">
        <v>42245</v>
      </c>
      <c r="D34" s="27" t="s">
        <v>187</v>
      </c>
      <c r="F34" s="27" t="s">
        <v>176</v>
      </c>
      <c r="G34" s="7" t="s">
        <v>188</v>
      </c>
      <c r="H34" s="29" t="s">
        <v>189</v>
      </c>
      <c r="I34" s="33">
        <v>552</v>
      </c>
      <c r="J34" s="32">
        <v>42260</v>
      </c>
      <c r="K34" s="31">
        <v>12000</v>
      </c>
      <c r="L34" s="12">
        <v>42350</v>
      </c>
      <c r="M34" s="12">
        <v>42398</v>
      </c>
    </row>
    <row r="35" spans="1:13" x14ac:dyDescent="0.25">
      <c r="A35" s="28">
        <v>42230</v>
      </c>
      <c r="B35" s="7">
        <v>1081814</v>
      </c>
      <c r="C35" s="28">
        <v>42247</v>
      </c>
      <c r="D35" s="27" t="s">
        <v>221</v>
      </c>
      <c r="F35" s="27" t="s">
        <v>184</v>
      </c>
      <c r="G35" s="7" t="s">
        <v>181</v>
      </c>
      <c r="H35" s="29" t="s">
        <v>137</v>
      </c>
      <c r="I35" s="33">
        <v>553</v>
      </c>
      <c r="J35" s="32">
        <v>42262</v>
      </c>
      <c r="K35" s="31">
        <v>4000</v>
      </c>
      <c r="L35" s="12">
        <v>42248</v>
      </c>
      <c r="M35" s="12">
        <v>42248</v>
      </c>
    </row>
    <row r="36" spans="1:13" x14ac:dyDescent="0.25">
      <c r="A36" s="28">
        <v>42230</v>
      </c>
      <c r="B36" s="7">
        <v>1081815</v>
      </c>
      <c r="C36" s="28">
        <v>42247</v>
      </c>
      <c r="D36" s="27" t="s">
        <v>222</v>
      </c>
      <c r="F36" s="27" t="s">
        <v>184</v>
      </c>
      <c r="G36" s="7" t="s">
        <v>183</v>
      </c>
      <c r="H36" s="29" t="s">
        <v>142</v>
      </c>
      <c r="I36" s="33">
        <v>554</v>
      </c>
      <c r="J36" s="32">
        <v>42262</v>
      </c>
      <c r="K36" s="31">
        <v>4000</v>
      </c>
      <c r="L36" s="12">
        <v>42250</v>
      </c>
      <c r="M36" s="12">
        <v>42250</v>
      </c>
    </row>
    <row r="37" spans="1:13" x14ac:dyDescent="0.25">
      <c r="A37" s="28">
        <v>42230</v>
      </c>
      <c r="B37" s="7">
        <v>1081816</v>
      </c>
      <c r="C37" s="28">
        <v>42250</v>
      </c>
      <c r="D37" s="27" t="s">
        <v>223</v>
      </c>
      <c r="F37" s="27" t="s">
        <v>173</v>
      </c>
      <c r="G37" s="7" t="s">
        <v>175</v>
      </c>
      <c r="H37" s="29" t="s">
        <v>141</v>
      </c>
      <c r="I37" s="33">
        <v>555</v>
      </c>
      <c r="J37" s="32">
        <v>42265</v>
      </c>
      <c r="K37" s="31">
        <v>5000</v>
      </c>
      <c r="L37" s="12">
        <v>42249</v>
      </c>
      <c r="M37" s="12">
        <v>42249</v>
      </c>
    </row>
    <row r="38" spans="1:13" x14ac:dyDescent="0.25">
      <c r="A38" s="28">
        <v>42230</v>
      </c>
      <c r="B38" s="7">
        <v>1081817</v>
      </c>
      <c r="C38" s="28">
        <v>42250</v>
      </c>
      <c r="D38" s="27" t="s">
        <v>224</v>
      </c>
      <c r="F38" s="27" t="s">
        <v>171</v>
      </c>
      <c r="G38" s="7" t="s">
        <v>175</v>
      </c>
      <c r="H38" s="29" t="s">
        <v>179</v>
      </c>
      <c r="I38" s="33">
        <v>556</v>
      </c>
      <c r="J38" s="32">
        <v>42265</v>
      </c>
      <c r="K38" s="31">
        <v>15000</v>
      </c>
      <c r="L38" s="12">
        <v>42249</v>
      </c>
      <c r="M38" s="12">
        <v>42249</v>
      </c>
    </row>
    <row r="39" spans="1:13" x14ac:dyDescent="0.25">
      <c r="A39" s="28">
        <v>42230</v>
      </c>
      <c r="B39" s="7">
        <v>1081818</v>
      </c>
      <c r="C39" s="28">
        <v>42251</v>
      </c>
      <c r="D39" s="27" t="s">
        <v>187</v>
      </c>
      <c r="F39" s="27" t="s">
        <v>176</v>
      </c>
      <c r="G39" s="7" t="s">
        <v>188</v>
      </c>
      <c r="H39" s="29" t="s">
        <v>189</v>
      </c>
      <c r="I39" s="33">
        <v>557</v>
      </c>
      <c r="J39" s="32">
        <v>42266</v>
      </c>
      <c r="K39" s="31">
        <v>12000</v>
      </c>
      <c r="L39" s="12">
        <v>42356</v>
      </c>
      <c r="M39" s="12">
        <v>42398</v>
      </c>
    </row>
    <row r="40" spans="1:13" x14ac:dyDescent="0.25">
      <c r="A40" s="28">
        <v>42230</v>
      </c>
      <c r="B40" s="7">
        <v>1081819</v>
      </c>
      <c r="C40" s="28">
        <v>42252</v>
      </c>
      <c r="D40" s="27" t="s">
        <v>225</v>
      </c>
      <c r="F40" s="27" t="s">
        <v>184</v>
      </c>
      <c r="G40" s="7" t="s">
        <v>174</v>
      </c>
      <c r="H40" s="29" t="s">
        <v>140</v>
      </c>
      <c r="I40" s="33">
        <v>558</v>
      </c>
      <c r="J40" s="32">
        <v>42267</v>
      </c>
      <c r="K40" s="31">
        <v>4000</v>
      </c>
      <c r="L40" s="12">
        <v>42249</v>
      </c>
      <c r="M40" s="12">
        <v>42249</v>
      </c>
    </row>
    <row r="41" spans="1:13" x14ac:dyDescent="0.25">
      <c r="A41" s="28">
        <v>42230</v>
      </c>
      <c r="B41" s="7">
        <v>1081820</v>
      </c>
      <c r="C41" s="28">
        <v>42254</v>
      </c>
      <c r="D41" s="27" t="s">
        <v>226</v>
      </c>
      <c r="F41" s="27" t="s">
        <v>196</v>
      </c>
      <c r="G41" s="7" t="s">
        <v>197</v>
      </c>
      <c r="H41" s="29" t="s">
        <v>138</v>
      </c>
      <c r="I41" s="33">
        <v>564</v>
      </c>
      <c r="J41" s="32">
        <v>42269</v>
      </c>
      <c r="K41" s="31">
        <v>9000</v>
      </c>
      <c r="L41" s="12">
        <v>42249</v>
      </c>
      <c r="M41" s="12">
        <v>42249</v>
      </c>
    </row>
    <row r="42" spans="1:13" x14ac:dyDescent="0.25">
      <c r="A42" s="28">
        <v>42230</v>
      </c>
      <c r="B42" s="7">
        <v>1081821</v>
      </c>
      <c r="C42" s="28">
        <v>42254</v>
      </c>
      <c r="D42" s="27" t="s">
        <v>227</v>
      </c>
      <c r="F42" s="27" t="s">
        <v>184</v>
      </c>
      <c r="G42" s="7" t="s">
        <v>182</v>
      </c>
      <c r="H42" s="29" t="s">
        <v>143</v>
      </c>
      <c r="I42" s="33">
        <v>559</v>
      </c>
      <c r="J42" s="32">
        <v>42269</v>
      </c>
      <c r="K42" s="31">
        <v>4000</v>
      </c>
      <c r="L42" s="12">
        <v>42250</v>
      </c>
      <c r="M42" s="12">
        <v>42250</v>
      </c>
    </row>
    <row r="43" spans="1:13" x14ac:dyDescent="0.25">
      <c r="A43" s="28">
        <v>42230</v>
      </c>
      <c r="B43" s="7">
        <v>1081822</v>
      </c>
      <c r="C43" s="28">
        <v>42259</v>
      </c>
      <c r="D43" s="27" t="s">
        <v>228</v>
      </c>
      <c r="F43" s="27" t="s">
        <v>173</v>
      </c>
      <c r="G43" s="7" t="s">
        <v>178</v>
      </c>
      <c r="H43" s="29" t="s">
        <v>144</v>
      </c>
      <c r="I43" s="33">
        <v>560</v>
      </c>
      <c r="J43" s="32">
        <v>42274</v>
      </c>
      <c r="K43" s="31">
        <v>5000</v>
      </c>
      <c r="L43" s="12">
        <v>42249</v>
      </c>
      <c r="M43" s="12">
        <v>42249</v>
      </c>
    </row>
    <row r="44" spans="1:13" x14ac:dyDescent="0.25">
      <c r="A44" s="28">
        <v>42230</v>
      </c>
      <c r="B44" s="7">
        <v>1081823</v>
      </c>
      <c r="C44" s="28">
        <v>42259</v>
      </c>
      <c r="D44" s="27" t="s">
        <v>229</v>
      </c>
      <c r="F44" s="27" t="s">
        <v>176</v>
      </c>
      <c r="G44" s="7" t="s">
        <v>178</v>
      </c>
      <c r="H44" s="29" t="s">
        <v>144</v>
      </c>
      <c r="I44" s="33">
        <v>561</v>
      </c>
      <c r="J44" s="32">
        <v>42274</v>
      </c>
      <c r="K44" s="31">
        <v>12000</v>
      </c>
      <c r="L44" s="12">
        <v>42250</v>
      </c>
      <c r="M44" s="12">
        <v>42250</v>
      </c>
    </row>
    <row r="45" spans="1:13" x14ac:dyDescent="0.25">
      <c r="A45" s="28">
        <v>42230</v>
      </c>
      <c r="B45" s="7">
        <v>1081824</v>
      </c>
      <c r="C45" s="28">
        <v>42260</v>
      </c>
      <c r="D45" s="27" t="s">
        <v>230</v>
      </c>
      <c r="F45" s="27" t="s">
        <v>184</v>
      </c>
      <c r="G45" s="7" t="s">
        <v>175</v>
      </c>
      <c r="H45" s="29" t="s">
        <v>179</v>
      </c>
      <c r="I45" s="33">
        <v>562</v>
      </c>
      <c r="J45" s="32">
        <v>42275</v>
      </c>
      <c r="K45" s="31">
        <v>4000</v>
      </c>
      <c r="L45" s="12">
        <v>42250</v>
      </c>
      <c r="M45" s="12">
        <v>42250</v>
      </c>
    </row>
    <row r="46" spans="1:13" x14ac:dyDescent="0.25">
      <c r="A46" s="28">
        <v>42230</v>
      </c>
      <c r="B46" s="7">
        <v>1081825</v>
      </c>
      <c r="C46" s="28">
        <v>42263</v>
      </c>
      <c r="D46" s="27" t="s">
        <v>231</v>
      </c>
      <c r="F46" s="27" t="s">
        <v>173</v>
      </c>
      <c r="G46" s="7" t="s">
        <v>186</v>
      </c>
      <c r="H46" s="29" t="s">
        <v>139</v>
      </c>
      <c r="I46" s="33">
        <v>565</v>
      </c>
      <c r="J46" s="32">
        <v>42278</v>
      </c>
      <c r="K46" s="31">
        <v>3500</v>
      </c>
      <c r="L46" s="12">
        <v>42250</v>
      </c>
      <c r="M46" s="12">
        <v>42250</v>
      </c>
    </row>
    <row r="47" spans="1:13" x14ac:dyDescent="0.25">
      <c r="A47" s="28">
        <v>42230</v>
      </c>
      <c r="B47" s="7">
        <v>1081826</v>
      </c>
      <c r="C47" s="28">
        <v>42263</v>
      </c>
      <c r="D47" s="27" t="s">
        <v>232</v>
      </c>
      <c r="F47" s="27" t="s">
        <v>176</v>
      </c>
      <c r="G47" s="7" t="s">
        <v>186</v>
      </c>
      <c r="H47" s="29" t="s">
        <v>139</v>
      </c>
      <c r="I47" s="33">
        <v>580</v>
      </c>
      <c r="J47" s="32">
        <v>42278</v>
      </c>
      <c r="K47" s="31">
        <v>8000</v>
      </c>
      <c r="L47" s="12">
        <v>42250</v>
      </c>
      <c r="M47" s="12">
        <v>42250</v>
      </c>
    </row>
    <row r="48" spans="1:13" x14ac:dyDescent="0.25">
      <c r="A48" s="28">
        <v>42230</v>
      </c>
      <c r="B48" s="7">
        <v>1081827</v>
      </c>
      <c r="C48" s="28">
        <v>42264</v>
      </c>
      <c r="D48" s="27" t="s">
        <v>233</v>
      </c>
      <c r="F48" s="27" t="s">
        <v>171</v>
      </c>
      <c r="G48" s="7" t="s">
        <v>174</v>
      </c>
      <c r="H48" s="29" t="s">
        <v>140</v>
      </c>
      <c r="I48" s="33">
        <v>563</v>
      </c>
      <c r="J48" s="32">
        <v>42279</v>
      </c>
      <c r="K48" s="31">
        <v>15000</v>
      </c>
      <c r="L48" s="12">
        <v>42250</v>
      </c>
      <c r="M48" s="12">
        <v>42250</v>
      </c>
    </row>
    <row r="49" spans="1:13" x14ac:dyDescent="0.25">
      <c r="A49" s="28">
        <v>42230</v>
      </c>
      <c r="B49" s="7">
        <v>1081828</v>
      </c>
      <c r="C49" s="28">
        <v>42265</v>
      </c>
      <c r="D49" s="27" t="s">
        <v>234</v>
      </c>
      <c r="F49" s="27" t="s">
        <v>212</v>
      </c>
      <c r="G49" s="7" t="s">
        <v>197</v>
      </c>
      <c r="H49" s="29" t="s">
        <v>138</v>
      </c>
      <c r="I49" s="33">
        <v>566</v>
      </c>
      <c r="J49" s="32">
        <v>42280</v>
      </c>
      <c r="K49" s="31">
        <v>7000</v>
      </c>
      <c r="L49" s="12">
        <v>42250</v>
      </c>
      <c r="M49" s="12">
        <v>42250</v>
      </c>
    </row>
    <row r="50" spans="1:13" x14ac:dyDescent="0.25">
      <c r="A50" s="28">
        <v>42230</v>
      </c>
      <c r="B50" s="7">
        <v>1081829</v>
      </c>
      <c r="C50" s="28">
        <v>42266</v>
      </c>
      <c r="D50" s="27" t="s">
        <v>187</v>
      </c>
      <c r="F50" s="27" t="s">
        <v>176</v>
      </c>
      <c r="G50" s="7" t="s">
        <v>188</v>
      </c>
      <c r="H50" s="29" t="s">
        <v>189</v>
      </c>
      <c r="I50" s="33">
        <v>567</v>
      </c>
      <c r="J50" s="32">
        <v>42281</v>
      </c>
      <c r="K50" s="31">
        <v>12000</v>
      </c>
      <c r="L50" s="12">
        <v>42371</v>
      </c>
      <c r="M50" s="12">
        <v>42398</v>
      </c>
    </row>
    <row r="51" spans="1:13" x14ac:dyDescent="0.25">
      <c r="A51" s="28">
        <v>42230</v>
      </c>
      <c r="B51" s="7">
        <v>1081830</v>
      </c>
      <c r="C51" s="28">
        <v>42317</v>
      </c>
      <c r="D51" s="27" t="s">
        <v>235</v>
      </c>
      <c r="F51" s="27" t="s">
        <v>196</v>
      </c>
      <c r="G51" s="7" t="s">
        <v>197</v>
      </c>
      <c r="H51" s="29" t="s">
        <v>138</v>
      </c>
      <c r="I51" s="33">
        <v>602</v>
      </c>
      <c r="J51" s="32">
        <v>42332</v>
      </c>
      <c r="K51" s="31">
        <v>7000</v>
      </c>
      <c r="L51" s="12">
        <v>42422</v>
      </c>
    </row>
    <row r="52" spans="1:13" x14ac:dyDescent="0.25">
      <c r="A52" s="28">
        <v>42230</v>
      </c>
      <c r="B52" s="7">
        <v>1081831</v>
      </c>
      <c r="C52" s="28">
        <v>42269</v>
      </c>
      <c r="D52" s="27" t="s">
        <v>236</v>
      </c>
      <c r="F52" s="27" t="s">
        <v>212</v>
      </c>
      <c r="G52" s="7" t="s">
        <v>186</v>
      </c>
      <c r="H52" s="29" t="s">
        <v>139</v>
      </c>
      <c r="I52" s="33">
        <v>568</v>
      </c>
      <c r="J52" s="32">
        <v>42284</v>
      </c>
      <c r="K52" s="31">
        <v>2500</v>
      </c>
      <c r="L52" s="12">
        <v>42249</v>
      </c>
      <c r="M52" s="12">
        <v>42249</v>
      </c>
    </row>
    <row r="53" spans="1:13" x14ac:dyDescent="0.25">
      <c r="A53" s="28">
        <v>42230</v>
      </c>
      <c r="B53" s="7">
        <v>1081832</v>
      </c>
      <c r="C53" s="28">
        <v>42272</v>
      </c>
      <c r="D53" s="27" t="s">
        <v>237</v>
      </c>
      <c r="F53" s="27" t="s">
        <v>173</v>
      </c>
      <c r="G53" s="7" t="s">
        <v>181</v>
      </c>
      <c r="H53" s="29" t="s">
        <v>137</v>
      </c>
      <c r="I53" s="33">
        <v>569</v>
      </c>
      <c r="J53" s="32">
        <v>42287</v>
      </c>
      <c r="K53" s="31">
        <v>5000</v>
      </c>
      <c r="L53" s="12">
        <v>42250</v>
      </c>
      <c r="M53" s="12">
        <v>42250</v>
      </c>
    </row>
    <row r="54" spans="1:13" x14ac:dyDescent="0.25">
      <c r="A54" s="28">
        <v>42230</v>
      </c>
      <c r="B54" s="7">
        <v>1081833</v>
      </c>
      <c r="C54" s="28">
        <v>42272</v>
      </c>
      <c r="D54" s="27" t="s">
        <v>238</v>
      </c>
      <c r="F54" s="27" t="s">
        <v>176</v>
      </c>
      <c r="G54" s="7" t="s">
        <v>181</v>
      </c>
      <c r="H54" s="29" t="s">
        <v>137</v>
      </c>
      <c r="I54" s="33">
        <v>570</v>
      </c>
      <c r="J54" s="32">
        <v>42287</v>
      </c>
      <c r="K54" s="31">
        <v>12000</v>
      </c>
      <c r="L54" s="12">
        <v>42250</v>
      </c>
      <c r="M54" s="12">
        <v>42250</v>
      </c>
    </row>
    <row r="55" spans="1:13" x14ac:dyDescent="0.25">
      <c r="A55" s="28">
        <v>42230</v>
      </c>
      <c r="B55" s="7">
        <v>1081834</v>
      </c>
      <c r="C55" s="28">
        <v>42272</v>
      </c>
      <c r="D55" s="27" t="s">
        <v>239</v>
      </c>
      <c r="F55" s="27" t="s">
        <v>173</v>
      </c>
      <c r="G55" s="7" t="s">
        <v>183</v>
      </c>
      <c r="H55" s="29" t="s">
        <v>142</v>
      </c>
      <c r="I55" s="33">
        <v>571</v>
      </c>
      <c r="J55" s="32">
        <v>42287</v>
      </c>
      <c r="K55" s="31">
        <v>5000</v>
      </c>
      <c r="L55" s="12">
        <v>42250</v>
      </c>
      <c r="M55" s="12">
        <v>42250</v>
      </c>
    </row>
    <row r="56" spans="1:13" x14ac:dyDescent="0.25">
      <c r="A56" s="28">
        <v>42230</v>
      </c>
      <c r="B56" s="7">
        <v>1081835</v>
      </c>
      <c r="C56" s="28">
        <v>42272</v>
      </c>
      <c r="D56" s="27" t="s">
        <v>240</v>
      </c>
      <c r="F56" s="27" t="s">
        <v>171</v>
      </c>
      <c r="G56" s="7" t="s">
        <v>183</v>
      </c>
      <c r="H56" s="29" t="s">
        <v>142</v>
      </c>
      <c r="I56" s="33">
        <v>581</v>
      </c>
      <c r="J56" s="32">
        <v>42287</v>
      </c>
      <c r="K56" s="31">
        <v>15000</v>
      </c>
      <c r="L56" s="12">
        <v>42250</v>
      </c>
      <c r="M56" s="12">
        <v>42250</v>
      </c>
    </row>
    <row r="57" spans="1:13" x14ac:dyDescent="0.25">
      <c r="A57" s="28">
        <v>42230</v>
      </c>
      <c r="B57" s="7">
        <v>1081836</v>
      </c>
      <c r="C57" s="28">
        <v>42272</v>
      </c>
      <c r="D57" s="27" t="s">
        <v>241</v>
      </c>
      <c r="F57" s="27" t="s">
        <v>173</v>
      </c>
      <c r="G57" s="7" t="s">
        <v>182</v>
      </c>
      <c r="H57" s="29" t="s">
        <v>143</v>
      </c>
      <c r="I57" s="33">
        <v>572</v>
      </c>
      <c r="J57" s="32">
        <v>42287</v>
      </c>
      <c r="K57" s="31">
        <v>5000</v>
      </c>
      <c r="L57" s="12">
        <v>42250</v>
      </c>
      <c r="M57" s="12">
        <v>42250</v>
      </c>
    </row>
    <row r="58" spans="1:13" x14ac:dyDescent="0.25">
      <c r="A58" s="28">
        <v>42230</v>
      </c>
      <c r="B58" s="7">
        <v>1081837</v>
      </c>
      <c r="C58" s="28">
        <v>42272</v>
      </c>
      <c r="D58" s="27" t="s">
        <v>242</v>
      </c>
      <c r="F58" s="27" t="s">
        <v>176</v>
      </c>
      <c r="G58" s="7" t="s">
        <v>182</v>
      </c>
      <c r="H58" s="29" t="s">
        <v>143</v>
      </c>
      <c r="I58" s="33">
        <v>573</v>
      </c>
      <c r="J58" s="32">
        <v>42287</v>
      </c>
      <c r="K58" s="31">
        <v>12000</v>
      </c>
      <c r="L58" s="12">
        <v>42250</v>
      </c>
      <c r="M58" s="12">
        <v>42250</v>
      </c>
    </row>
    <row r="59" spans="1:13" x14ac:dyDescent="0.25">
      <c r="A59" s="28">
        <v>42230</v>
      </c>
      <c r="B59" s="7">
        <v>1081838</v>
      </c>
      <c r="C59" s="28">
        <v>42276</v>
      </c>
      <c r="D59" s="27" t="s">
        <v>187</v>
      </c>
      <c r="F59" s="27" t="s">
        <v>176</v>
      </c>
      <c r="G59" s="7" t="s">
        <v>188</v>
      </c>
      <c r="H59" s="29" t="s">
        <v>189</v>
      </c>
      <c r="I59" s="33">
        <v>574</v>
      </c>
      <c r="J59" s="32">
        <v>42291</v>
      </c>
      <c r="K59" s="31">
        <v>12000</v>
      </c>
      <c r="L59" s="12">
        <v>42381</v>
      </c>
      <c r="M59" s="12">
        <v>42398</v>
      </c>
    </row>
    <row r="60" spans="1:13" x14ac:dyDescent="0.25">
      <c r="A60" s="28">
        <v>42230</v>
      </c>
      <c r="B60" s="7">
        <v>1081839</v>
      </c>
      <c r="C60" s="28">
        <v>42277</v>
      </c>
      <c r="D60" s="27" t="s">
        <v>243</v>
      </c>
      <c r="F60" s="27" t="s">
        <v>212</v>
      </c>
      <c r="G60" s="7" t="s">
        <v>186</v>
      </c>
      <c r="H60" s="29" t="s">
        <v>139</v>
      </c>
      <c r="I60" s="33">
        <v>575</v>
      </c>
      <c r="J60" s="32">
        <v>42292</v>
      </c>
      <c r="K60" s="31">
        <v>2500</v>
      </c>
      <c r="L60" s="12">
        <v>42250</v>
      </c>
      <c r="M60" s="12">
        <v>42250</v>
      </c>
    </row>
    <row r="61" spans="1:13" x14ac:dyDescent="0.25">
      <c r="A61" s="28">
        <v>42230</v>
      </c>
      <c r="B61" s="7">
        <v>1081840</v>
      </c>
      <c r="C61" s="28">
        <v>42277</v>
      </c>
      <c r="D61" s="27" t="s">
        <v>244</v>
      </c>
      <c r="F61" s="27" t="s">
        <v>184</v>
      </c>
      <c r="G61" s="7" t="s">
        <v>186</v>
      </c>
      <c r="H61" s="29" t="s">
        <v>139</v>
      </c>
      <c r="I61" s="33">
        <v>576</v>
      </c>
      <c r="J61" s="32">
        <v>42292</v>
      </c>
      <c r="K61" s="31">
        <v>2500</v>
      </c>
      <c r="L61" s="12">
        <v>42250</v>
      </c>
      <c r="M61" s="12">
        <v>42250</v>
      </c>
    </row>
    <row r="62" spans="1:13" x14ac:dyDescent="0.25">
      <c r="A62" s="28">
        <v>42230</v>
      </c>
      <c r="B62" s="7">
        <v>1081841</v>
      </c>
      <c r="C62" s="28">
        <v>42277</v>
      </c>
      <c r="D62" s="27" t="s">
        <v>245</v>
      </c>
      <c r="F62" s="27" t="s">
        <v>173</v>
      </c>
      <c r="G62" s="7" t="s">
        <v>178</v>
      </c>
      <c r="H62" s="29" t="s">
        <v>144</v>
      </c>
      <c r="I62" s="33">
        <v>577</v>
      </c>
      <c r="J62" s="32">
        <v>42292</v>
      </c>
      <c r="K62" s="31">
        <v>5000</v>
      </c>
      <c r="L62" s="12">
        <v>42250</v>
      </c>
      <c r="M62" s="12">
        <v>42250</v>
      </c>
    </row>
    <row r="63" spans="1:13" x14ac:dyDescent="0.25">
      <c r="A63" s="28">
        <v>42230</v>
      </c>
      <c r="B63" s="7">
        <v>1081842</v>
      </c>
      <c r="C63" s="28">
        <v>42277</v>
      </c>
      <c r="D63" s="27" t="s">
        <v>246</v>
      </c>
      <c r="F63" s="27" t="s">
        <v>171</v>
      </c>
      <c r="G63" s="7" t="s">
        <v>178</v>
      </c>
      <c r="H63" s="29" t="s">
        <v>144</v>
      </c>
      <c r="I63" s="33">
        <v>582</v>
      </c>
      <c r="J63" s="32">
        <v>42292</v>
      </c>
      <c r="K63" s="31">
        <v>15000</v>
      </c>
      <c r="L63" s="12">
        <v>42250</v>
      </c>
      <c r="M63" s="12">
        <v>42250</v>
      </c>
    </row>
    <row r="64" spans="1:13" x14ac:dyDescent="0.25">
      <c r="A64" s="28">
        <v>42230</v>
      </c>
      <c r="B64" s="7">
        <v>1081843</v>
      </c>
      <c r="C64" s="28">
        <v>42279</v>
      </c>
      <c r="D64" s="27" t="s">
        <v>247</v>
      </c>
      <c r="F64" s="27" t="s">
        <v>184</v>
      </c>
      <c r="G64" s="7" t="s">
        <v>174</v>
      </c>
      <c r="H64" s="29" t="s">
        <v>140</v>
      </c>
      <c r="I64" s="33">
        <v>583</v>
      </c>
      <c r="J64" s="32">
        <v>42294</v>
      </c>
      <c r="K64" s="31">
        <v>4000</v>
      </c>
      <c r="L64" s="12">
        <v>42278</v>
      </c>
      <c r="M64" s="12">
        <v>42278</v>
      </c>
    </row>
    <row r="65" spans="1:13" x14ac:dyDescent="0.25">
      <c r="A65" s="28">
        <v>42230</v>
      </c>
      <c r="B65" s="7">
        <v>1081844</v>
      </c>
      <c r="C65" s="28">
        <v>42279</v>
      </c>
      <c r="D65" s="27" t="s">
        <v>248</v>
      </c>
      <c r="F65" s="27" t="s">
        <v>173</v>
      </c>
      <c r="G65" s="7" t="s">
        <v>175</v>
      </c>
      <c r="H65" s="29" t="s">
        <v>179</v>
      </c>
      <c r="I65" s="33">
        <v>578</v>
      </c>
      <c r="J65" s="32">
        <v>42294</v>
      </c>
      <c r="K65" s="31">
        <v>5000</v>
      </c>
      <c r="L65" s="12">
        <v>42250</v>
      </c>
      <c r="M65" s="12">
        <v>42250</v>
      </c>
    </row>
    <row r="66" spans="1:13" x14ac:dyDescent="0.25">
      <c r="A66" s="28">
        <v>42230</v>
      </c>
      <c r="B66" s="7">
        <v>1081845</v>
      </c>
      <c r="C66" s="28">
        <v>42279</v>
      </c>
      <c r="D66" s="27" t="s">
        <v>249</v>
      </c>
      <c r="F66" s="27" t="s">
        <v>171</v>
      </c>
      <c r="G66" s="7" t="s">
        <v>175</v>
      </c>
      <c r="H66" s="29" t="s">
        <v>141</v>
      </c>
      <c r="I66" s="33">
        <v>584</v>
      </c>
      <c r="J66" s="32">
        <v>42294</v>
      </c>
      <c r="K66" s="31">
        <v>15000</v>
      </c>
      <c r="L66" s="12">
        <v>42250</v>
      </c>
      <c r="M66" s="12">
        <v>42250</v>
      </c>
    </row>
    <row r="67" spans="1:13" x14ac:dyDescent="0.25">
      <c r="A67" s="28">
        <v>42230</v>
      </c>
      <c r="B67" s="7">
        <v>1081846</v>
      </c>
      <c r="C67" s="28">
        <v>42284</v>
      </c>
      <c r="D67" s="27" t="s">
        <v>250</v>
      </c>
      <c r="F67" s="27" t="s">
        <v>173</v>
      </c>
      <c r="G67" s="7" t="s">
        <v>186</v>
      </c>
      <c r="H67" s="29" t="s">
        <v>139</v>
      </c>
      <c r="I67" s="33">
        <v>579</v>
      </c>
      <c r="J67" s="32">
        <v>42299</v>
      </c>
      <c r="K67" s="31">
        <v>3500</v>
      </c>
      <c r="L67" s="12">
        <v>42250</v>
      </c>
      <c r="M67" s="12">
        <v>42250</v>
      </c>
    </row>
    <row r="68" spans="1:13" x14ac:dyDescent="0.25">
      <c r="A68" s="28">
        <v>42230</v>
      </c>
      <c r="B68" s="7">
        <v>1081847</v>
      </c>
      <c r="C68" s="28">
        <v>42284</v>
      </c>
      <c r="D68" s="27" t="s">
        <v>251</v>
      </c>
      <c r="F68" s="27" t="s">
        <v>176</v>
      </c>
      <c r="G68" s="7" t="s">
        <v>186</v>
      </c>
      <c r="H68" s="29" t="s">
        <v>139</v>
      </c>
      <c r="I68" s="33">
        <v>585</v>
      </c>
      <c r="J68" s="32">
        <v>42299</v>
      </c>
      <c r="K68" s="31">
        <v>8000</v>
      </c>
      <c r="L68" s="12">
        <v>42250</v>
      </c>
      <c r="M68" s="12">
        <v>42250</v>
      </c>
    </row>
    <row r="69" spans="1:13" x14ac:dyDescent="0.25">
      <c r="A69" s="28">
        <v>42230</v>
      </c>
      <c r="B69" s="7">
        <v>1081848</v>
      </c>
      <c r="C69" s="28">
        <v>42286</v>
      </c>
      <c r="D69" s="27" t="s">
        <v>252</v>
      </c>
      <c r="F69" s="27" t="s">
        <v>212</v>
      </c>
      <c r="G69" s="7" t="s">
        <v>197</v>
      </c>
      <c r="H69" s="29" t="s">
        <v>138</v>
      </c>
      <c r="I69" s="33">
        <v>586</v>
      </c>
      <c r="J69" s="32">
        <v>42301</v>
      </c>
      <c r="K69" s="31">
        <v>5000</v>
      </c>
      <c r="L69" s="12">
        <v>42250</v>
      </c>
      <c r="M69" s="12">
        <v>42250</v>
      </c>
    </row>
    <row r="70" spans="1:13" x14ac:dyDescent="0.25">
      <c r="A70" s="28">
        <v>42230</v>
      </c>
      <c r="B70" s="7">
        <v>1081849</v>
      </c>
      <c r="C70" s="28">
        <v>40461</v>
      </c>
      <c r="D70" s="27" t="s">
        <v>253</v>
      </c>
      <c r="F70" s="27" t="s">
        <v>180</v>
      </c>
      <c r="G70" s="7" t="s">
        <v>175</v>
      </c>
      <c r="H70" s="29" t="s">
        <v>141</v>
      </c>
      <c r="I70" s="33">
        <v>587</v>
      </c>
      <c r="J70" s="32">
        <v>40476</v>
      </c>
      <c r="K70" s="31">
        <v>7500</v>
      </c>
      <c r="L70" s="12">
        <v>42250</v>
      </c>
      <c r="M70" s="12">
        <v>42250</v>
      </c>
    </row>
    <row r="71" spans="1:13" x14ac:dyDescent="0.25">
      <c r="A71" s="28">
        <v>42230</v>
      </c>
      <c r="B71" s="7">
        <v>1081850</v>
      </c>
      <c r="C71" s="28">
        <v>42288</v>
      </c>
      <c r="D71" s="27" t="s">
        <v>187</v>
      </c>
      <c r="F71" s="27" t="s">
        <v>176</v>
      </c>
      <c r="G71" s="7" t="s">
        <v>188</v>
      </c>
      <c r="H71" s="29" t="s">
        <v>189</v>
      </c>
      <c r="I71" s="33">
        <v>588</v>
      </c>
      <c r="J71" s="32">
        <v>42303</v>
      </c>
      <c r="K71" s="31">
        <v>12000</v>
      </c>
      <c r="L71" s="12">
        <v>42393</v>
      </c>
      <c r="M71" s="12">
        <v>42398</v>
      </c>
    </row>
    <row r="72" spans="1:13" x14ac:dyDescent="0.25">
      <c r="A72" s="28">
        <v>42278</v>
      </c>
      <c r="B72" s="7">
        <v>1099601</v>
      </c>
      <c r="C72" s="28">
        <v>42290</v>
      </c>
      <c r="D72" s="27" t="s">
        <v>254</v>
      </c>
      <c r="F72" s="27" t="s">
        <v>180</v>
      </c>
      <c r="G72" s="7" t="s">
        <v>183</v>
      </c>
      <c r="H72" s="29" t="s">
        <v>142</v>
      </c>
      <c r="I72" s="33">
        <v>589</v>
      </c>
      <c r="J72" s="32">
        <v>42305</v>
      </c>
      <c r="K72" s="31">
        <v>7500</v>
      </c>
      <c r="L72" s="12">
        <v>42250</v>
      </c>
      <c r="M72" s="12">
        <v>42250</v>
      </c>
    </row>
    <row r="73" spans="1:13" x14ac:dyDescent="0.25">
      <c r="A73" s="28">
        <v>42278</v>
      </c>
      <c r="B73" s="7">
        <v>1099602</v>
      </c>
      <c r="C73" s="28">
        <v>42290</v>
      </c>
      <c r="D73" s="27" t="s">
        <v>255</v>
      </c>
      <c r="F73" s="27" t="s">
        <v>171</v>
      </c>
      <c r="G73" s="7" t="s">
        <v>174</v>
      </c>
      <c r="H73" s="29" t="s">
        <v>140</v>
      </c>
      <c r="I73" s="33">
        <v>590</v>
      </c>
      <c r="J73" s="32">
        <v>42305</v>
      </c>
      <c r="K73" s="31">
        <v>15000</v>
      </c>
      <c r="L73" s="12">
        <v>42250</v>
      </c>
      <c r="M73" s="12">
        <v>42250</v>
      </c>
    </row>
    <row r="74" spans="1:13" x14ac:dyDescent="0.25">
      <c r="A74" s="28">
        <v>42278</v>
      </c>
      <c r="B74" s="7">
        <v>1099603</v>
      </c>
      <c r="C74" s="28">
        <v>42291</v>
      </c>
      <c r="D74" s="27" t="s">
        <v>256</v>
      </c>
      <c r="F74" s="27" t="s">
        <v>180</v>
      </c>
      <c r="G74" s="7" t="s">
        <v>178</v>
      </c>
      <c r="H74" s="29" t="s">
        <v>144</v>
      </c>
      <c r="I74" s="33">
        <v>591</v>
      </c>
      <c r="J74" s="32">
        <v>42306</v>
      </c>
      <c r="K74" s="31">
        <v>7500</v>
      </c>
      <c r="L74" s="12">
        <v>42250</v>
      </c>
      <c r="M74" s="12">
        <v>42250</v>
      </c>
    </row>
    <row r="75" spans="1:13" x14ac:dyDescent="0.25">
      <c r="A75" s="28">
        <v>42278</v>
      </c>
      <c r="B75" s="7">
        <v>1099604</v>
      </c>
      <c r="C75" s="28">
        <v>42292</v>
      </c>
      <c r="D75" s="27" t="s">
        <v>257</v>
      </c>
      <c r="F75" s="27" t="s">
        <v>173</v>
      </c>
      <c r="G75" s="7" t="s">
        <v>182</v>
      </c>
      <c r="H75" s="29" t="s">
        <v>143</v>
      </c>
      <c r="I75" s="33">
        <v>592</v>
      </c>
      <c r="J75" s="32">
        <v>42307</v>
      </c>
      <c r="K75" s="31">
        <v>5000</v>
      </c>
      <c r="L75" s="12">
        <v>42250</v>
      </c>
      <c r="M75" s="12">
        <v>42250</v>
      </c>
    </row>
    <row r="76" spans="1:13" x14ac:dyDescent="0.25">
      <c r="A76" s="28">
        <v>42278</v>
      </c>
      <c r="B76" s="7">
        <v>1099606</v>
      </c>
      <c r="C76" s="28">
        <v>42293</v>
      </c>
      <c r="D76" s="27" t="s">
        <v>258</v>
      </c>
      <c r="F76" s="27" t="s">
        <v>173</v>
      </c>
      <c r="G76" s="7" t="s">
        <v>181</v>
      </c>
      <c r="H76" s="29" t="s">
        <v>137</v>
      </c>
      <c r="I76" s="33">
        <v>594</v>
      </c>
      <c r="J76" s="32">
        <v>42308</v>
      </c>
      <c r="K76" s="31">
        <v>5000</v>
      </c>
      <c r="L76" s="12">
        <v>42250</v>
      </c>
      <c r="M76" s="12">
        <v>42250</v>
      </c>
    </row>
    <row r="77" spans="1:13" x14ac:dyDescent="0.25">
      <c r="A77" s="28">
        <v>42278</v>
      </c>
      <c r="B77" s="7">
        <v>1099618</v>
      </c>
      <c r="C77" s="28">
        <v>42308</v>
      </c>
      <c r="D77" s="27" t="s">
        <v>259</v>
      </c>
      <c r="F77" s="27" t="s">
        <v>171</v>
      </c>
      <c r="G77" s="7" t="s">
        <v>178</v>
      </c>
      <c r="H77" s="29" t="s">
        <v>144</v>
      </c>
      <c r="I77" s="33">
        <v>607</v>
      </c>
      <c r="J77" s="32">
        <v>42323</v>
      </c>
      <c r="K77" s="31">
        <v>15000</v>
      </c>
      <c r="L77" s="12">
        <v>42408</v>
      </c>
    </row>
    <row r="78" spans="1:13" x14ac:dyDescent="0.25">
      <c r="A78" s="28">
        <v>42278</v>
      </c>
      <c r="B78" s="7">
        <v>1099620</v>
      </c>
      <c r="C78" s="28">
        <v>42310</v>
      </c>
      <c r="D78" s="27" t="s">
        <v>187</v>
      </c>
      <c r="F78" s="27" t="s">
        <v>176</v>
      </c>
      <c r="G78" s="7" t="s">
        <v>188</v>
      </c>
      <c r="H78" s="29" t="s">
        <v>189</v>
      </c>
      <c r="I78" s="33">
        <v>609</v>
      </c>
      <c r="J78" s="32">
        <v>42325</v>
      </c>
      <c r="K78" s="31">
        <v>12000</v>
      </c>
      <c r="L78" s="12">
        <v>42410</v>
      </c>
    </row>
    <row r="79" spans="1:13" x14ac:dyDescent="0.25">
      <c r="A79" s="28">
        <v>42278</v>
      </c>
      <c r="B79" s="7">
        <v>1099621</v>
      </c>
      <c r="C79" s="28">
        <v>42310</v>
      </c>
      <c r="D79" s="27" t="s">
        <v>260</v>
      </c>
      <c r="F79" s="27" t="s">
        <v>171</v>
      </c>
      <c r="G79" s="7" t="s">
        <v>174</v>
      </c>
      <c r="H79" s="29" t="s">
        <v>140</v>
      </c>
      <c r="I79" s="33">
        <v>610</v>
      </c>
      <c r="J79" s="32">
        <v>42325</v>
      </c>
      <c r="K79" s="31">
        <v>15000</v>
      </c>
      <c r="L79" s="12">
        <v>42410</v>
      </c>
    </row>
    <row r="80" spans="1:13" x14ac:dyDescent="0.25">
      <c r="A80" s="28">
        <v>42278</v>
      </c>
      <c r="B80" s="7">
        <v>1099622</v>
      </c>
      <c r="C80" s="28">
        <v>42312</v>
      </c>
      <c r="D80" s="27" t="s">
        <v>261</v>
      </c>
      <c r="F80" s="27" t="s">
        <v>176</v>
      </c>
      <c r="G80" s="7" t="s">
        <v>186</v>
      </c>
      <c r="H80" s="29" t="s">
        <v>139</v>
      </c>
      <c r="I80" s="33">
        <v>611</v>
      </c>
      <c r="J80" s="32">
        <v>42327</v>
      </c>
      <c r="K80" s="31">
        <v>8000</v>
      </c>
      <c r="L80" s="12">
        <v>42412</v>
      </c>
    </row>
    <row r="81" spans="1:12" x14ac:dyDescent="0.25">
      <c r="A81" s="28">
        <v>42278</v>
      </c>
      <c r="B81" s="7">
        <v>1099624</v>
      </c>
      <c r="C81" s="28">
        <v>42315</v>
      </c>
      <c r="D81" s="27" t="s">
        <v>262</v>
      </c>
      <c r="F81" s="27" t="s">
        <v>171</v>
      </c>
      <c r="G81" s="7" t="s">
        <v>183</v>
      </c>
      <c r="H81" s="29" t="s">
        <v>142</v>
      </c>
      <c r="I81" s="33">
        <v>613</v>
      </c>
      <c r="J81" s="32">
        <v>42330</v>
      </c>
      <c r="K81" s="31">
        <v>15000</v>
      </c>
      <c r="L81" s="12">
        <v>42415</v>
      </c>
    </row>
    <row r="82" spans="1:12" x14ac:dyDescent="0.25">
      <c r="A82" s="28">
        <v>42278</v>
      </c>
      <c r="B82" s="7">
        <v>1099625</v>
      </c>
      <c r="C82" s="28">
        <v>42317</v>
      </c>
      <c r="D82" s="27" t="s">
        <v>263</v>
      </c>
      <c r="F82" s="27" t="s">
        <v>184</v>
      </c>
      <c r="G82" s="7" t="s">
        <v>174</v>
      </c>
      <c r="H82" s="29" t="s">
        <v>140</v>
      </c>
      <c r="I82" s="33">
        <v>614</v>
      </c>
      <c r="J82" s="32">
        <v>42332</v>
      </c>
      <c r="K82" s="31">
        <v>4000</v>
      </c>
      <c r="L82" s="12">
        <v>42417</v>
      </c>
    </row>
    <row r="83" spans="1:12" x14ac:dyDescent="0.25">
      <c r="A83" s="28">
        <v>42278</v>
      </c>
      <c r="B83" s="7">
        <v>1099626</v>
      </c>
      <c r="C83" s="28">
        <v>42317</v>
      </c>
      <c r="D83" s="27" t="s">
        <v>264</v>
      </c>
      <c r="F83" s="27" t="s">
        <v>184</v>
      </c>
      <c r="G83" s="7" t="s">
        <v>178</v>
      </c>
      <c r="H83" s="29" t="s">
        <v>144</v>
      </c>
      <c r="I83" s="33">
        <v>615</v>
      </c>
      <c r="J83" s="32">
        <v>42332</v>
      </c>
      <c r="K83" s="31">
        <v>4000</v>
      </c>
      <c r="L83" s="12">
        <v>42417</v>
      </c>
    </row>
    <row r="84" spans="1:12" x14ac:dyDescent="0.25">
      <c r="A84" s="28">
        <v>42278</v>
      </c>
      <c r="B84" s="7">
        <v>1099627</v>
      </c>
      <c r="C84" s="28">
        <v>42319</v>
      </c>
      <c r="D84" s="27" t="s">
        <v>187</v>
      </c>
      <c r="F84" s="27" t="s">
        <v>176</v>
      </c>
      <c r="G84" s="7" t="s">
        <v>188</v>
      </c>
      <c r="H84" s="29" t="s">
        <v>189</v>
      </c>
      <c r="I84" s="33">
        <v>616</v>
      </c>
      <c r="J84" s="32">
        <v>42334</v>
      </c>
      <c r="K84" s="31">
        <v>12000</v>
      </c>
      <c r="L84" s="12">
        <v>42419</v>
      </c>
    </row>
    <row r="85" spans="1:12" x14ac:dyDescent="0.25">
      <c r="A85" s="28">
        <v>42278</v>
      </c>
      <c r="B85" s="7">
        <v>1099628</v>
      </c>
      <c r="C85" s="28">
        <v>42320</v>
      </c>
      <c r="D85" s="27" t="s">
        <v>265</v>
      </c>
      <c r="F85" s="27" t="s">
        <v>173</v>
      </c>
      <c r="G85" s="7" t="s">
        <v>175</v>
      </c>
      <c r="H85" s="29" t="s">
        <v>141</v>
      </c>
      <c r="I85" s="33">
        <v>617</v>
      </c>
      <c r="J85" s="32">
        <v>42335</v>
      </c>
      <c r="K85" s="31">
        <v>5000</v>
      </c>
      <c r="L85" s="12">
        <v>42420</v>
      </c>
    </row>
    <row r="86" spans="1:12" x14ac:dyDescent="0.25">
      <c r="A86" s="28">
        <v>42278</v>
      </c>
      <c r="B86" s="7">
        <v>1099629</v>
      </c>
      <c r="C86" s="28">
        <v>42320</v>
      </c>
      <c r="D86" s="27" t="s">
        <v>266</v>
      </c>
      <c r="F86" s="27" t="s">
        <v>171</v>
      </c>
      <c r="G86" s="7" t="s">
        <v>175</v>
      </c>
      <c r="H86" s="29" t="s">
        <v>141</v>
      </c>
      <c r="I86" s="33">
        <v>618</v>
      </c>
      <c r="J86" s="32">
        <v>42335</v>
      </c>
      <c r="K86" s="31">
        <v>15000</v>
      </c>
      <c r="L86" s="12">
        <v>42420</v>
      </c>
    </row>
    <row r="87" spans="1:12" x14ac:dyDescent="0.25">
      <c r="A87" s="28">
        <v>42278</v>
      </c>
      <c r="B87" s="7">
        <v>1099630</v>
      </c>
      <c r="C87" s="28">
        <v>42320</v>
      </c>
      <c r="D87" s="27" t="s">
        <v>267</v>
      </c>
      <c r="F87" s="27" t="s">
        <v>173</v>
      </c>
      <c r="G87" s="7" t="s">
        <v>182</v>
      </c>
      <c r="H87" s="29" t="s">
        <v>143</v>
      </c>
      <c r="I87" s="33">
        <v>619</v>
      </c>
      <c r="J87" s="32">
        <v>42335</v>
      </c>
      <c r="K87" s="31">
        <v>5000</v>
      </c>
      <c r="L87" s="12">
        <v>42420</v>
      </c>
    </row>
    <row r="88" spans="1:12" x14ac:dyDescent="0.25">
      <c r="A88" s="28">
        <v>42278</v>
      </c>
      <c r="B88" s="7">
        <v>1099631</v>
      </c>
      <c r="C88" s="28">
        <v>42320</v>
      </c>
      <c r="D88" s="27" t="s">
        <v>268</v>
      </c>
      <c r="F88" s="27" t="s">
        <v>171</v>
      </c>
      <c r="G88" s="7" t="s">
        <v>182</v>
      </c>
      <c r="H88" s="29" t="s">
        <v>143</v>
      </c>
      <c r="I88" s="33">
        <v>620</v>
      </c>
      <c r="J88" s="32">
        <v>42335</v>
      </c>
      <c r="K88" s="31">
        <v>15000</v>
      </c>
      <c r="L88" s="12">
        <v>42420</v>
      </c>
    </row>
    <row r="89" spans="1:12" x14ac:dyDescent="0.25">
      <c r="A89" s="28">
        <v>42278</v>
      </c>
      <c r="B89" s="7">
        <v>1099632</v>
      </c>
      <c r="C89" s="28">
        <v>42321</v>
      </c>
      <c r="D89" s="27" t="s">
        <v>269</v>
      </c>
      <c r="F89" s="27" t="s">
        <v>173</v>
      </c>
      <c r="G89" s="7" t="s">
        <v>181</v>
      </c>
      <c r="H89" s="29" t="s">
        <v>137</v>
      </c>
      <c r="I89" s="33">
        <v>621</v>
      </c>
      <c r="J89" s="32">
        <v>42336</v>
      </c>
      <c r="K89" s="31">
        <v>5000</v>
      </c>
      <c r="L89" s="12">
        <v>42421</v>
      </c>
    </row>
    <row r="90" spans="1:12" x14ac:dyDescent="0.25">
      <c r="A90" s="28">
        <v>42278</v>
      </c>
      <c r="B90" s="7">
        <v>1099633</v>
      </c>
      <c r="C90" s="28">
        <v>42321</v>
      </c>
      <c r="D90" s="27" t="s">
        <v>270</v>
      </c>
      <c r="F90" s="27" t="s">
        <v>171</v>
      </c>
      <c r="G90" s="7" t="s">
        <v>181</v>
      </c>
      <c r="H90" s="29" t="s">
        <v>137</v>
      </c>
      <c r="I90" s="33">
        <v>622</v>
      </c>
      <c r="J90" s="32">
        <v>42336</v>
      </c>
      <c r="K90" s="31">
        <v>15000</v>
      </c>
      <c r="L90" s="12">
        <v>42421</v>
      </c>
    </row>
    <row r="91" spans="1:12" x14ac:dyDescent="0.25">
      <c r="A91" s="28">
        <v>42278</v>
      </c>
      <c r="B91" s="7">
        <v>1099634</v>
      </c>
      <c r="C91" s="28">
        <v>42321</v>
      </c>
      <c r="D91" s="27" t="s">
        <v>271</v>
      </c>
      <c r="F91" s="27" t="s">
        <v>176</v>
      </c>
      <c r="G91" s="7" t="s">
        <v>186</v>
      </c>
      <c r="H91" s="29" t="s">
        <v>139</v>
      </c>
      <c r="I91" s="33">
        <v>623</v>
      </c>
      <c r="J91" s="32">
        <v>42336</v>
      </c>
      <c r="K91" s="31">
        <v>8000</v>
      </c>
      <c r="L91" s="12">
        <v>42421</v>
      </c>
    </row>
    <row r="92" spans="1:12" x14ac:dyDescent="0.25">
      <c r="A92" s="28">
        <v>42278</v>
      </c>
      <c r="B92" s="7">
        <v>1099635</v>
      </c>
      <c r="C92" s="28">
        <v>42325</v>
      </c>
      <c r="D92" s="27" t="s">
        <v>272</v>
      </c>
      <c r="F92" s="27" t="s">
        <v>184</v>
      </c>
      <c r="G92" s="7" t="s">
        <v>183</v>
      </c>
      <c r="H92" s="29" t="s">
        <v>142</v>
      </c>
      <c r="I92" s="33">
        <v>624</v>
      </c>
      <c r="J92" s="32">
        <v>42340</v>
      </c>
      <c r="K92" s="31">
        <v>4000</v>
      </c>
      <c r="L92" s="12">
        <v>42425</v>
      </c>
    </row>
    <row r="93" spans="1:12" x14ac:dyDescent="0.25">
      <c r="A93" s="28">
        <v>42278</v>
      </c>
      <c r="B93" s="7">
        <v>1099636</v>
      </c>
      <c r="C93" s="28">
        <v>42325</v>
      </c>
      <c r="D93" s="27" t="s">
        <v>273</v>
      </c>
      <c r="F93" s="27" t="s">
        <v>171</v>
      </c>
      <c r="G93" s="7" t="s">
        <v>174</v>
      </c>
      <c r="H93" s="29" t="s">
        <v>140</v>
      </c>
      <c r="I93" s="33">
        <v>625</v>
      </c>
      <c r="J93" s="32">
        <v>42340</v>
      </c>
      <c r="K93" s="31">
        <v>15000</v>
      </c>
      <c r="L93" s="12">
        <v>42425</v>
      </c>
    </row>
    <row r="94" spans="1:12" x14ac:dyDescent="0.25">
      <c r="A94" s="28">
        <v>42278</v>
      </c>
      <c r="B94" s="7">
        <v>1099637</v>
      </c>
      <c r="C94" s="28">
        <v>42327</v>
      </c>
      <c r="D94" s="27" t="s">
        <v>274</v>
      </c>
      <c r="F94" s="27" t="s">
        <v>212</v>
      </c>
      <c r="G94" s="7" t="s">
        <v>197</v>
      </c>
      <c r="H94" s="29" t="s">
        <v>138</v>
      </c>
      <c r="I94" s="33">
        <v>626</v>
      </c>
      <c r="J94" s="32">
        <v>42342</v>
      </c>
      <c r="K94" s="31">
        <v>5000</v>
      </c>
      <c r="L94" s="12">
        <v>42427</v>
      </c>
    </row>
    <row r="95" spans="1:12" x14ac:dyDescent="0.25">
      <c r="A95" s="28">
        <v>42278</v>
      </c>
      <c r="B95" s="7">
        <v>1099638</v>
      </c>
      <c r="C95" s="28">
        <v>42328</v>
      </c>
      <c r="D95" s="27" t="s">
        <v>275</v>
      </c>
      <c r="F95" s="27" t="s">
        <v>173</v>
      </c>
      <c r="G95" s="7" t="s">
        <v>178</v>
      </c>
      <c r="H95" s="29" t="s">
        <v>144</v>
      </c>
      <c r="I95" s="33">
        <v>627</v>
      </c>
      <c r="J95" s="32">
        <v>42343</v>
      </c>
      <c r="K95" s="31">
        <v>5000</v>
      </c>
      <c r="L95" s="12">
        <v>42428</v>
      </c>
    </row>
    <row r="96" spans="1:12" x14ac:dyDescent="0.25">
      <c r="A96" s="28">
        <v>42278</v>
      </c>
      <c r="B96" s="7">
        <v>1099639</v>
      </c>
      <c r="C96" s="28">
        <v>42328</v>
      </c>
      <c r="D96" s="27" t="s">
        <v>276</v>
      </c>
      <c r="F96" s="27" t="s">
        <v>171</v>
      </c>
      <c r="G96" s="7" t="s">
        <v>178</v>
      </c>
      <c r="H96" s="29" t="s">
        <v>144</v>
      </c>
      <c r="I96" s="33">
        <v>628</v>
      </c>
      <c r="J96" s="32">
        <v>42343</v>
      </c>
      <c r="K96" s="31">
        <v>15000</v>
      </c>
      <c r="L96" s="12">
        <v>42428</v>
      </c>
    </row>
    <row r="97" spans="1:12" x14ac:dyDescent="0.25">
      <c r="A97" s="28">
        <v>42278</v>
      </c>
      <c r="B97" s="7">
        <v>1099640</v>
      </c>
      <c r="C97" s="28">
        <v>42328</v>
      </c>
      <c r="D97" s="27" t="s">
        <v>187</v>
      </c>
      <c r="F97" s="27" t="s">
        <v>176</v>
      </c>
      <c r="G97" s="7" t="s">
        <v>188</v>
      </c>
      <c r="H97" s="29" t="s">
        <v>189</v>
      </c>
      <c r="I97" s="33">
        <v>629</v>
      </c>
      <c r="J97" s="32">
        <v>42343</v>
      </c>
      <c r="K97" s="31">
        <v>12000</v>
      </c>
      <c r="L97" s="12">
        <v>42428</v>
      </c>
    </row>
    <row r="98" spans="1:12" x14ac:dyDescent="0.25">
      <c r="A98" s="28">
        <v>42278</v>
      </c>
      <c r="B98" s="7">
        <v>1099641</v>
      </c>
      <c r="C98" s="28">
        <v>42330</v>
      </c>
      <c r="D98" s="27" t="s">
        <v>277</v>
      </c>
      <c r="F98" s="27" t="s">
        <v>171</v>
      </c>
      <c r="G98" s="7" t="s">
        <v>186</v>
      </c>
      <c r="H98" s="29" t="s">
        <v>139</v>
      </c>
      <c r="I98" s="33">
        <v>634</v>
      </c>
      <c r="J98" s="32">
        <v>42345</v>
      </c>
      <c r="K98" s="31">
        <v>10000</v>
      </c>
      <c r="L98" s="12">
        <v>42430</v>
      </c>
    </row>
    <row r="99" spans="1:12" x14ac:dyDescent="0.25">
      <c r="A99" s="28">
        <v>42278</v>
      </c>
      <c r="B99" s="7">
        <v>1099642</v>
      </c>
      <c r="C99" s="28">
        <v>42330</v>
      </c>
      <c r="D99" s="27" t="s">
        <v>278</v>
      </c>
      <c r="F99" s="27" t="s">
        <v>180</v>
      </c>
      <c r="G99" s="7" t="s">
        <v>174</v>
      </c>
      <c r="H99" s="29" t="s">
        <v>140</v>
      </c>
      <c r="I99" s="33">
        <v>630</v>
      </c>
      <c r="J99" s="32">
        <v>42345</v>
      </c>
      <c r="K99" s="31">
        <v>7500</v>
      </c>
      <c r="L99" s="12">
        <v>42430</v>
      </c>
    </row>
    <row r="100" spans="1:12" x14ac:dyDescent="0.25">
      <c r="A100" s="28">
        <v>42278</v>
      </c>
      <c r="B100" s="7">
        <v>1099643</v>
      </c>
      <c r="C100" s="28">
        <v>42330</v>
      </c>
      <c r="D100" s="27" t="s">
        <v>279</v>
      </c>
      <c r="F100" s="27" t="s">
        <v>180</v>
      </c>
      <c r="G100" s="7" t="s">
        <v>175</v>
      </c>
      <c r="H100" s="29" t="s">
        <v>141</v>
      </c>
      <c r="I100" s="33">
        <v>631</v>
      </c>
      <c r="J100" s="32">
        <v>42345</v>
      </c>
      <c r="K100" s="31">
        <v>7500</v>
      </c>
      <c r="L100" s="12">
        <v>42430</v>
      </c>
    </row>
    <row r="101" spans="1:12" x14ac:dyDescent="0.25">
      <c r="A101" s="28">
        <v>42278</v>
      </c>
      <c r="B101" s="7">
        <v>1099644</v>
      </c>
      <c r="C101" s="28">
        <v>42332</v>
      </c>
      <c r="D101" s="27" t="s">
        <v>280</v>
      </c>
      <c r="F101" s="27" t="s">
        <v>184</v>
      </c>
      <c r="G101" s="7" t="s">
        <v>181</v>
      </c>
      <c r="H101" s="29" t="s">
        <v>137</v>
      </c>
      <c r="I101" s="33">
        <v>635</v>
      </c>
      <c r="J101" s="32">
        <v>42347</v>
      </c>
      <c r="K101" s="31">
        <v>4000</v>
      </c>
      <c r="L101" s="12">
        <v>42432</v>
      </c>
    </row>
    <row r="102" spans="1:12" x14ac:dyDescent="0.25">
      <c r="A102" s="28">
        <v>42278</v>
      </c>
      <c r="B102" s="7">
        <v>1099645</v>
      </c>
      <c r="C102" s="28">
        <v>42338</v>
      </c>
      <c r="D102" s="27" t="s">
        <v>281</v>
      </c>
      <c r="F102" s="27" t="s">
        <v>184</v>
      </c>
      <c r="G102" s="7" t="s">
        <v>178</v>
      </c>
      <c r="H102" s="29" t="s">
        <v>144</v>
      </c>
      <c r="I102" s="33">
        <v>636</v>
      </c>
      <c r="J102" s="32">
        <v>42353</v>
      </c>
      <c r="K102" s="31">
        <v>4000</v>
      </c>
      <c r="L102" s="12">
        <v>42438</v>
      </c>
    </row>
    <row r="103" spans="1:12" x14ac:dyDescent="0.25">
      <c r="A103" s="28">
        <v>42278</v>
      </c>
      <c r="B103" s="7">
        <v>1099646</v>
      </c>
      <c r="C103" s="28">
        <v>42339</v>
      </c>
      <c r="D103" s="27" t="s">
        <v>187</v>
      </c>
      <c r="F103" s="27" t="s">
        <v>173</v>
      </c>
      <c r="G103" s="7" t="s">
        <v>188</v>
      </c>
      <c r="H103" s="29" t="s">
        <v>189</v>
      </c>
      <c r="I103" s="33">
        <v>632</v>
      </c>
      <c r="J103" s="32">
        <v>42354</v>
      </c>
      <c r="K103" s="31">
        <v>5000</v>
      </c>
      <c r="L103" s="12">
        <v>42439</v>
      </c>
    </row>
    <row r="104" spans="1:12" x14ac:dyDescent="0.25">
      <c r="A104" s="28">
        <v>42278</v>
      </c>
      <c r="B104" s="7">
        <v>1099647</v>
      </c>
      <c r="C104" s="28">
        <v>42339</v>
      </c>
      <c r="D104" s="27" t="s">
        <v>187</v>
      </c>
      <c r="F104" s="27" t="s">
        <v>176</v>
      </c>
      <c r="G104" s="7" t="s">
        <v>188</v>
      </c>
      <c r="H104" s="29" t="s">
        <v>189</v>
      </c>
      <c r="I104" s="33">
        <v>633</v>
      </c>
      <c r="J104" s="32">
        <v>42354</v>
      </c>
      <c r="K104" s="31">
        <v>12000</v>
      </c>
      <c r="L104" s="12">
        <v>42439</v>
      </c>
    </row>
    <row r="105" spans="1:12" x14ac:dyDescent="0.25">
      <c r="A105" s="28">
        <v>42278</v>
      </c>
      <c r="B105" s="7">
        <v>1099648</v>
      </c>
      <c r="C105" s="28">
        <v>42339</v>
      </c>
      <c r="D105" s="27" t="s">
        <v>282</v>
      </c>
      <c r="F105" s="27" t="s">
        <v>171</v>
      </c>
      <c r="G105" s="7" t="s">
        <v>175</v>
      </c>
      <c r="H105" s="29" t="s">
        <v>141</v>
      </c>
      <c r="I105" s="33">
        <v>637</v>
      </c>
      <c r="J105" s="32">
        <v>42354</v>
      </c>
      <c r="K105" s="31">
        <v>15000</v>
      </c>
      <c r="L105" s="12">
        <v>42439</v>
      </c>
    </row>
    <row r="106" spans="1:12" x14ac:dyDescent="0.25">
      <c r="A106" s="28">
        <v>42278</v>
      </c>
      <c r="B106" s="7">
        <v>1099649</v>
      </c>
      <c r="C106" s="28">
        <v>42340</v>
      </c>
      <c r="D106" s="27" t="s">
        <v>283</v>
      </c>
      <c r="F106" s="27" t="s">
        <v>184</v>
      </c>
      <c r="G106" s="7" t="s">
        <v>182</v>
      </c>
      <c r="H106" s="29" t="s">
        <v>143</v>
      </c>
      <c r="I106" s="33">
        <v>638</v>
      </c>
      <c r="J106" s="32">
        <v>42355</v>
      </c>
      <c r="K106" s="31">
        <v>4000</v>
      </c>
      <c r="L106" s="12">
        <v>42440</v>
      </c>
    </row>
    <row r="107" spans="1:12" x14ac:dyDescent="0.25">
      <c r="A107" s="28">
        <v>42278</v>
      </c>
      <c r="B107" s="7">
        <v>1099650</v>
      </c>
      <c r="C107" s="28">
        <v>42340</v>
      </c>
      <c r="D107" s="27" t="s">
        <v>284</v>
      </c>
      <c r="F107" s="27" t="s">
        <v>173</v>
      </c>
      <c r="G107" s="7" t="s">
        <v>183</v>
      </c>
      <c r="H107" s="29" t="s">
        <v>142</v>
      </c>
      <c r="I107" s="33">
        <v>639</v>
      </c>
      <c r="J107" s="32">
        <v>42355</v>
      </c>
      <c r="K107" s="31">
        <v>5000</v>
      </c>
      <c r="L107" s="12">
        <v>42440</v>
      </c>
    </row>
    <row r="108" spans="1:12" x14ac:dyDescent="0.25">
      <c r="A108" s="28">
        <v>42339</v>
      </c>
      <c r="B108" s="7">
        <v>1120601</v>
      </c>
      <c r="C108" s="28">
        <v>42340</v>
      </c>
      <c r="D108" s="27" t="s">
        <v>285</v>
      </c>
      <c r="F108" s="27" t="s">
        <v>171</v>
      </c>
      <c r="G108" s="7" t="s">
        <v>183</v>
      </c>
      <c r="H108" s="29" t="s">
        <v>142</v>
      </c>
      <c r="I108" s="33">
        <v>640</v>
      </c>
      <c r="J108" s="32">
        <v>42355</v>
      </c>
      <c r="K108" s="31">
        <v>15000</v>
      </c>
      <c r="L108" s="12">
        <v>42440</v>
      </c>
    </row>
    <row r="109" spans="1:12" x14ac:dyDescent="0.25">
      <c r="A109" s="28">
        <v>42339</v>
      </c>
      <c r="B109" s="7">
        <v>1120602</v>
      </c>
      <c r="C109" s="28">
        <v>42341</v>
      </c>
      <c r="D109" s="27" t="s">
        <v>286</v>
      </c>
      <c r="F109" s="27" t="s">
        <v>171</v>
      </c>
      <c r="G109" s="7" t="s">
        <v>174</v>
      </c>
      <c r="H109" s="29" t="s">
        <v>140</v>
      </c>
      <c r="I109" s="33">
        <v>641</v>
      </c>
      <c r="J109" s="32">
        <v>42356</v>
      </c>
      <c r="K109" s="31">
        <v>15000</v>
      </c>
      <c r="L109" s="12">
        <v>42441</v>
      </c>
    </row>
    <row r="110" spans="1:12" x14ac:dyDescent="0.25">
      <c r="A110" s="28">
        <v>42339</v>
      </c>
      <c r="B110" s="7">
        <v>1120603</v>
      </c>
      <c r="C110" s="28">
        <v>42346</v>
      </c>
      <c r="D110" s="27" t="s">
        <v>287</v>
      </c>
      <c r="F110" s="27" t="s">
        <v>173</v>
      </c>
      <c r="G110" s="7" t="s">
        <v>181</v>
      </c>
      <c r="H110" s="29" t="s">
        <v>179</v>
      </c>
      <c r="I110" s="33">
        <v>642</v>
      </c>
      <c r="J110" s="32">
        <v>42361</v>
      </c>
      <c r="K110" s="31">
        <v>5000</v>
      </c>
      <c r="L110" s="12">
        <v>42446</v>
      </c>
    </row>
    <row r="111" spans="1:12" x14ac:dyDescent="0.25">
      <c r="A111" s="28">
        <v>42339</v>
      </c>
      <c r="B111" s="7">
        <v>1120604</v>
      </c>
      <c r="C111" s="28">
        <v>42346</v>
      </c>
      <c r="D111" s="27" t="s">
        <v>288</v>
      </c>
      <c r="F111" s="27" t="s">
        <v>171</v>
      </c>
      <c r="G111" s="7" t="s">
        <v>181</v>
      </c>
      <c r="H111" s="29" t="s">
        <v>179</v>
      </c>
      <c r="I111" s="33">
        <v>643</v>
      </c>
      <c r="J111" s="32">
        <v>42361</v>
      </c>
      <c r="K111" s="31">
        <v>15000</v>
      </c>
      <c r="L111" s="12">
        <v>42446</v>
      </c>
    </row>
    <row r="112" spans="1:12" x14ac:dyDescent="0.25">
      <c r="A112" s="28">
        <v>42339</v>
      </c>
      <c r="B112" s="7">
        <v>1120605</v>
      </c>
      <c r="C112" s="28">
        <v>42350</v>
      </c>
      <c r="D112" s="27" t="s">
        <v>289</v>
      </c>
      <c r="F112" s="27" t="s">
        <v>173</v>
      </c>
      <c r="G112" s="7" t="s">
        <v>178</v>
      </c>
      <c r="H112" s="29" t="s">
        <v>144</v>
      </c>
      <c r="I112" s="33">
        <v>644</v>
      </c>
      <c r="J112" s="32">
        <v>42365</v>
      </c>
      <c r="K112" s="31">
        <v>5000</v>
      </c>
      <c r="L112" s="12">
        <v>42450</v>
      </c>
    </row>
    <row r="113" spans="1:12" x14ac:dyDescent="0.25">
      <c r="A113" s="28">
        <v>42339</v>
      </c>
      <c r="B113" s="7">
        <v>1120606</v>
      </c>
      <c r="C113" s="28">
        <v>42350</v>
      </c>
      <c r="D113" s="27" t="s">
        <v>290</v>
      </c>
      <c r="F113" s="27" t="s">
        <v>171</v>
      </c>
      <c r="G113" s="7" t="s">
        <v>178</v>
      </c>
      <c r="H113" s="29" t="s">
        <v>144</v>
      </c>
      <c r="I113" s="33">
        <v>645</v>
      </c>
      <c r="J113" s="32">
        <v>42365</v>
      </c>
      <c r="K113" s="31">
        <v>15000</v>
      </c>
      <c r="L113" s="12">
        <v>42450</v>
      </c>
    </row>
    <row r="114" spans="1:12" x14ac:dyDescent="0.25">
      <c r="A114" s="28">
        <v>42339</v>
      </c>
      <c r="B114" s="7">
        <v>1120607</v>
      </c>
      <c r="C114" s="28">
        <v>42351</v>
      </c>
      <c r="D114" s="27" t="s">
        <v>291</v>
      </c>
      <c r="F114" s="27" t="s">
        <v>212</v>
      </c>
      <c r="G114" s="7" t="s">
        <v>186</v>
      </c>
      <c r="H114" s="29" t="s">
        <v>139</v>
      </c>
      <c r="I114" s="33">
        <v>646</v>
      </c>
      <c r="J114" s="32">
        <v>42366</v>
      </c>
      <c r="K114" s="31">
        <v>2500</v>
      </c>
      <c r="L114" s="12">
        <v>42451</v>
      </c>
    </row>
    <row r="115" spans="1:12" x14ac:dyDescent="0.25">
      <c r="A115" s="28">
        <v>42339</v>
      </c>
      <c r="B115" s="7">
        <v>1120608</v>
      </c>
      <c r="C115" s="28">
        <v>42351</v>
      </c>
      <c r="D115" s="27" t="s">
        <v>292</v>
      </c>
      <c r="F115" s="27" t="s">
        <v>184</v>
      </c>
      <c r="G115" s="7" t="s">
        <v>186</v>
      </c>
      <c r="H115" s="29" t="s">
        <v>139</v>
      </c>
      <c r="I115" s="33">
        <v>647</v>
      </c>
      <c r="J115" s="32">
        <v>42366</v>
      </c>
      <c r="K115" s="31">
        <v>2500</v>
      </c>
      <c r="L115" s="12">
        <v>42451</v>
      </c>
    </row>
    <row r="116" spans="1:12" x14ac:dyDescent="0.25">
      <c r="A116" s="28">
        <v>42339</v>
      </c>
      <c r="B116" s="7">
        <v>1120609</v>
      </c>
      <c r="C116" s="28">
        <v>42352</v>
      </c>
      <c r="D116" s="27" t="s">
        <v>293</v>
      </c>
      <c r="F116" s="27" t="s">
        <v>180</v>
      </c>
      <c r="G116" s="7" t="s">
        <v>183</v>
      </c>
      <c r="H116" s="29" t="s">
        <v>142</v>
      </c>
      <c r="J116" s="32" t="s">
        <v>294</v>
      </c>
      <c r="L116" s="12" t="s">
        <v>294</v>
      </c>
    </row>
    <row r="117" spans="1:12" x14ac:dyDescent="0.25">
      <c r="A117" s="28">
        <v>42339</v>
      </c>
      <c r="B117" s="7">
        <v>1120610</v>
      </c>
      <c r="C117" s="28">
        <v>42352</v>
      </c>
      <c r="D117" s="27" t="s">
        <v>295</v>
      </c>
      <c r="F117" s="27" t="s">
        <v>184</v>
      </c>
      <c r="G117" s="7" t="s">
        <v>175</v>
      </c>
      <c r="H117" s="29" t="s">
        <v>141</v>
      </c>
      <c r="I117" s="33">
        <v>648</v>
      </c>
      <c r="J117" s="32">
        <v>42367</v>
      </c>
      <c r="K117" s="31">
        <v>4000</v>
      </c>
      <c r="L117" s="12">
        <v>42452</v>
      </c>
    </row>
    <row r="118" spans="1:12" x14ac:dyDescent="0.25">
      <c r="A118" s="28">
        <v>42339</v>
      </c>
      <c r="B118" s="7">
        <v>1120611</v>
      </c>
      <c r="C118" s="28">
        <v>42353</v>
      </c>
      <c r="D118" s="27" t="s">
        <v>296</v>
      </c>
      <c r="F118" s="27" t="s">
        <v>184</v>
      </c>
      <c r="G118" s="7" t="s">
        <v>174</v>
      </c>
      <c r="H118" s="29" t="s">
        <v>140</v>
      </c>
      <c r="I118" s="33">
        <v>649</v>
      </c>
      <c r="J118" s="32">
        <v>42368</v>
      </c>
      <c r="K118" s="31">
        <v>4000</v>
      </c>
      <c r="L118" s="12">
        <v>42453</v>
      </c>
    </row>
    <row r="119" spans="1:12" x14ac:dyDescent="0.25">
      <c r="A119" s="28">
        <v>42339</v>
      </c>
      <c r="B119" s="7">
        <v>1120612</v>
      </c>
      <c r="C119" s="28">
        <v>42355</v>
      </c>
      <c r="D119" s="27" t="s">
        <v>187</v>
      </c>
      <c r="F119" s="27" t="s">
        <v>176</v>
      </c>
      <c r="G119" s="7" t="s">
        <v>188</v>
      </c>
      <c r="H119" s="29" t="s">
        <v>189</v>
      </c>
      <c r="I119" s="33">
        <v>650</v>
      </c>
      <c r="J119" s="32">
        <v>42370</v>
      </c>
      <c r="K119" s="31">
        <v>12000</v>
      </c>
      <c r="L119" s="12">
        <v>42455</v>
      </c>
    </row>
    <row r="120" spans="1:12" x14ac:dyDescent="0.25">
      <c r="A120" s="28">
        <v>42339</v>
      </c>
      <c r="B120" s="7">
        <v>1120613</v>
      </c>
      <c r="C120" s="28">
        <v>42355</v>
      </c>
      <c r="D120" s="27" t="s">
        <v>297</v>
      </c>
      <c r="F120" s="27" t="s">
        <v>173</v>
      </c>
      <c r="G120" s="7" t="s">
        <v>182</v>
      </c>
      <c r="H120" s="29" t="s">
        <v>143</v>
      </c>
      <c r="J120" s="32" t="s">
        <v>294</v>
      </c>
      <c r="L120" s="12" t="s">
        <v>294</v>
      </c>
    </row>
    <row r="121" spans="1:12" x14ac:dyDescent="0.25">
      <c r="A121" s="28">
        <v>42339</v>
      </c>
      <c r="B121" s="7">
        <v>1120614</v>
      </c>
      <c r="C121" s="28">
        <v>42355</v>
      </c>
      <c r="D121" s="27" t="s">
        <v>298</v>
      </c>
      <c r="F121" s="27" t="s">
        <v>171</v>
      </c>
      <c r="G121" s="7" t="s">
        <v>182</v>
      </c>
      <c r="H121" s="29" t="s">
        <v>143</v>
      </c>
      <c r="J121" s="32" t="s">
        <v>294</v>
      </c>
      <c r="L121" s="12" t="s">
        <v>294</v>
      </c>
    </row>
    <row r="122" spans="1:12" x14ac:dyDescent="0.25">
      <c r="A122" s="28">
        <v>42339</v>
      </c>
      <c r="B122" s="7">
        <v>1120615</v>
      </c>
      <c r="C122" s="28">
        <v>42359</v>
      </c>
      <c r="D122" s="27" t="s">
        <v>299</v>
      </c>
      <c r="F122" s="27" t="s">
        <v>184</v>
      </c>
      <c r="G122" s="7" t="s">
        <v>181</v>
      </c>
      <c r="H122" s="29" t="s">
        <v>179</v>
      </c>
      <c r="I122" s="33">
        <v>651</v>
      </c>
      <c r="J122" s="32">
        <v>42374</v>
      </c>
      <c r="K122" s="31">
        <v>4000</v>
      </c>
      <c r="L122" s="12">
        <v>42459</v>
      </c>
    </row>
    <row r="123" spans="1:12" x14ac:dyDescent="0.25">
      <c r="A123" s="28">
        <v>42339</v>
      </c>
      <c r="B123" s="7">
        <v>1120616</v>
      </c>
      <c r="C123" s="28">
        <v>42360</v>
      </c>
      <c r="D123" s="27" t="s">
        <v>300</v>
      </c>
      <c r="F123" s="27" t="s">
        <v>184</v>
      </c>
      <c r="G123" s="7" t="s">
        <v>178</v>
      </c>
      <c r="H123" s="29" t="s">
        <v>144</v>
      </c>
      <c r="I123" s="33">
        <v>652</v>
      </c>
      <c r="J123" s="32">
        <v>42375</v>
      </c>
      <c r="K123" s="31">
        <v>4000</v>
      </c>
      <c r="L123" s="12">
        <v>42460</v>
      </c>
    </row>
    <row r="124" spans="1:12" x14ac:dyDescent="0.25">
      <c r="A124" s="28">
        <v>42339</v>
      </c>
      <c r="B124" s="7">
        <v>1120617</v>
      </c>
      <c r="C124" s="28">
        <v>42360</v>
      </c>
      <c r="D124" s="27" t="s">
        <v>301</v>
      </c>
      <c r="F124" s="27" t="s">
        <v>196</v>
      </c>
      <c r="G124" s="7" t="s">
        <v>197</v>
      </c>
      <c r="H124" s="29" t="s">
        <v>138</v>
      </c>
      <c r="I124" s="33">
        <v>653</v>
      </c>
      <c r="J124" s="32">
        <v>42375</v>
      </c>
      <c r="K124" s="31">
        <v>7000</v>
      </c>
      <c r="L124" s="12">
        <v>42460</v>
      </c>
    </row>
    <row r="125" spans="1:12" x14ac:dyDescent="0.25">
      <c r="A125" s="28">
        <v>42339</v>
      </c>
      <c r="B125" s="7">
        <v>1120618</v>
      </c>
      <c r="C125" s="28">
        <v>42366</v>
      </c>
      <c r="D125" s="27" t="s">
        <v>302</v>
      </c>
      <c r="F125" s="27" t="s">
        <v>171</v>
      </c>
      <c r="G125" s="7" t="s">
        <v>183</v>
      </c>
      <c r="H125" s="29" t="s">
        <v>139</v>
      </c>
      <c r="J125" s="32" t="s">
        <v>294</v>
      </c>
      <c r="L125" s="12" t="s">
        <v>294</v>
      </c>
    </row>
    <row r="126" spans="1:12" x14ac:dyDescent="0.25">
      <c r="A126" s="28">
        <v>42339</v>
      </c>
      <c r="B126" s="7">
        <v>1120619</v>
      </c>
      <c r="C126" s="28">
        <v>42377</v>
      </c>
      <c r="D126" s="27" t="s">
        <v>327</v>
      </c>
      <c r="F126" s="27" t="s">
        <v>320</v>
      </c>
      <c r="G126" s="7" t="s">
        <v>311</v>
      </c>
      <c r="H126" s="29" t="s">
        <v>141</v>
      </c>
      <c r="I126" s="33">
        <v>692</v>
      </c>
      <c r="J126" s="32">
        <v>42420</v>
      </c>
      <c r="K126" s="31">
        <v>5000</v>
      </c>
      <c r="L126" s="12">
        <f>J126+90</f>
        <v>42510</v>
      </c>
    </row>
    <row r="127" spans="1:12" x14ac:dyDescent="0.25">
      <c r="A127" s="28">
        <v>42339</v>
      </c>
      <c r="B127" s="7">
        <v>1120620</v>
      </c>
      <c r="C127" s="28">
        <v>42377</v>
      </c>
      <c r="D127" s="27" t="s">
        <v>303</v>
      </c>
      <c r="F127" s="27" t="s">
        <v>171</v>
      </c>
      <c r="G127" s="7" t="s">
        <v>304</v>
      </c>
      <c r="H127" s="29" t="s">
        <v>146</v>
      </c>
      <c r="J127" s="32" t="s">
        <v>294</v>
      </c>
      <c r="L127" s="12" t="s">
        <v>294</v>
      </c>
    </row>
    <row r="128" spans="1:12" x14ac:dyDescent="0.25">
      <c r="A128" s="28">
        <v>42339</v>
      </c>
      <c r="B128" s="7">
        <v>1120621</v>
      </c>
      <c r="C128" s="28">
        <v>42378</v>
      </c>
      <c r="D128" s="27" t="s">
        <v>187</v>
      </c>
      <c r="F128" s="27" t="s">
        <v>176</v>
      </c>
      <c r="G128" s="7" t="s">
        <v>188</v>
      </c>
      <c r="H128" s="29" t="s">
        <v>189</v>
      </c>
      <c r="J128" s="32" t="s">
        <v>294</v>
      </c>
      <c r="L128" s="12" t="s">
        <v>294</v>
      </c>
    </row>
    <row r="129" spans="1:12" x14ac:dyDescent="0.25">
      <c r="A129" s="28">
        <v>42339</v>
      </c>
      <c r="B129" s="7">
        <v>1120622</v>
      </c>
      <c r="C129" s="28">
        <v>42382</v>
      </c>
      <c r="D129" s="27" t="s">
        <v>305</v>
      </c>
      <c r="F129" s="27" t="s">
        <v>176</v>
      </c>
      <c r="G129" s="7" t="s">
        <v>186</v>
      </c>
      <c r="H129" s="29" t="s">
        <v>139</v>
      </c>
      <c r="J129" s="32" t="s">
        <v>294</v>
      </c>
      <c r="L129" s="12" t="s">
        <v>294</v>
      </c>
    </row>
    <row r="130" spans="1:12" x14ac:dyDescent="0.25">
      <c r="A130" s="28">
        <v>42339</v>
      </c>
      <c r="B130" s="7">
        <v>1120623</v>
      </c>
      <c r="C130" s="28">
        <v>42388</v>
      </c>
      <c r="D130" s="27" t="s">
        <v>306</v>
      </c>
      <c r="F130" s="27" t="s">
        <v>180</v>
      </c>
      <c r="G130" s="7" t="s">
        <v>304</v>
      </c>
      <c r="H130" s="29" t="s">
        <v>146</v>
      </c>
      <c r="J130" s="32" t="s">
        <v>294</v>
      </c>
      <c r="L130" s="12" t="s">
        <v>294</v>
      </c>
    </row>
    <row r="131" spans="1:12" x14ac:dyDescent="0.25">
      <c r="A131" s="28">
        <v>42339</v>
      </c>
      <c r="B131" s="7">
        <v>1120624</v>
      </c>
      <c r="C131" s="28">
        <v>42388</v>
      </c>
      <c r="D131" s="27" t="s">
        <v>307</v>
      </c>
      <c r="F131" s="27" t="s">
        <v>173</v>
      </c>
      <c r="G131" s="7" t="s">
        <v>175</v>
      </c>
      <c r="H131" s="29" t="s">
        <v>141</v>
      </c>
      <c r="J131" s="32" t="s">
        <v>294</v>
      </c>
      <c r="L131" s="12" t="s">
        <v>294</v>
      </c>
    </row>
    <row r="132" spans="1:12" x14ac:dyDescent="0.25">
      <c r="A132" s="28">
        <v>42339</v>
      </c>
      <c r="B132" s="7">
        <v>1120625</v>
      </c>
      <c r="C132" s="28">
        <v>42388</v>
      </c>
      <c r="D132" s="27" t="s">
        <v>308</v>
      </c>
      <c r="E132" s="27" t="s">
        <v>309</v>
      </c>
      <c r="F132" s="27" t="s">
        <v>310</v>
      </c>
      <c r="G132" s="7" t="s">
        <v>311</v>
      </c>
      <c r="H132" s="29" t="s">
        <v>141</v>
      </c>
      <c r="I132" s="33">
        <v>671</v>
      </c>
      <c r="J132" s="32">
        <v>42403</v>
      </c>
      <c r="K132" s="31">
        <v>5000</v>
      </c>
      <c r="L132" s="12">
        <f>J132+90</f>
        <v>42493</v>
      </c>
    </row>
    <row r="133" spans="1:12" x14ac:dyDescent="0.25">
      <c r="A133" s="28">
        <v>42339</v>
      </c>
      <c r="B133" s="7">
        <v>1120626</v>
      </c>
      <c r="C133" s="28">
        <v>42388</v>
      </c>
      <c r="D133" s="27" t="s">
        <v>312</v>
      </c>
      <c r="F133" s="27" t="s">
        <v>173</v>
      </c>
      <c r="G133" s="7" t="s">
        <v>181</v>
      </c>
      <c r="H133" s="29" t="s">
        <v>179</v>
      </c>
      <c r="J133" s="32" t="s">
        <v>294</v>
      </c>
      <c r="L133" s="12" t="s">
        <v>294</v>
      </c>
    </row>
    <row r="134" spans="1:12" x14ac:dyDescent="0.25">
      <c r="A134" s="28">
        <v>42339</v>
      </c>
      <c r="B134" s="7">
        <v>1120627</v>
      </c>
      <c r="C134" s="28">
        <v>42389</v>
      </c>
      <c r="D134" s="27" t="s">
        <v>313</v>
      </c>
      <c r="F134" s="27" t="s">
        <v>314</v>
      </c>
      <c r="G134" s="7" t="s">
        <v>181</v>
      </c>
      <c r="H134" s="29" t="s">
        <v>179</v>
      </c>
      <c r="J134" s="32" t="s">
        <v>294</v>
      </c>
      <c r="L134" s="12" t="s">
        <v>294</v>
      </c>
    </row>
    <row r="135" spans="1:12" x14ac:dyDescent="0.25">
      <c r="A135" s="28">
        <v>42339</v>
      </c>
      <c r="B135" s="7">
        <v>1120628</v>
      </c>
      <c r="C135" s="28">
        <v>42389</v>
      </c>
      <c r="D135" s="27" t="s">
        <v>315</v>
      </c>
      <c r="F135" s="27" t="s">
        <v>173</v>
      </c>
      <c r="G135" s="7" t="s">
        <v>178</v>
      </c>
      <c r="H135" s="29" t="s">
        <v>144</v>
      </c>
      <c r="J135" s="32" t="s">
        <v>294</v>
      </c>
      <c r="L135" s="12" t="s">
        <v>294</v>
      </c>
    </row>
    <row r="136" spans="1:12" x14ac:dyDescent="0.25">
      <c r="A136" s="28">
        <v>42339</v>
      </c>
      <c r="B136" s="7">
        <v>1120629</v>
      </c>
      <c r="C136" s="28">
        <v>42393</v>
      </c>
      <c r="D136" s="27" t="s">
        <v>316</v>
      </c>
      <c r="F136" s="27" t="s">
        <v>314</v>
      </c>
      <c r="G136" s="7" t="s">
        <v>178</v>
      </c>
      <c r="H136" s="29" t="s">
        <v>144</v>
      </c>
      <c r="J136" s="32" t="s">
        <v>294</v>
      </c>
      <c r="L136" s="12" t="s">
        <v>294</v>
      </c>
    </row>
    <row r="137" spans="1:12" x14ac:dyDescent="0.25">
      <c r="A137" s="28">
        <v>42339</v>
      </c>
      <c r="B137" s="7">
        <v>1120630</v>
      </c>
      <c r="C137" s="28">
        <v>42394</v>
      </c>
      <c r="D137" s="27" t="s">
        <v>317</v>
      </c>
      <c r="E137" s="27" t="s">
        <v>336</v>
      </c>
      <c r="F137" s="27" t="s">
        <v>337</v>
      </c>
      <c r="G137" s="7" t="s">
        <v>186</v>
      </c>
      <c r="H137" s="29" t="s">
        <v>139</v>
      </c>
      <c r="I137" s="33">
        <v>672</v>
      </c>
      <c r="J137" s="32">
        <v>42408</v>
      </c>
      <c r="K137" s="31">
        <v>10000</v>
      </c>
      <c r="L137" s="12">
        <f>J137+90</f>
        <v>42498</v>
      </c>
    </row>
    <row r="138" spans="1:12" x14ac:dyDescent="0.25">
      <c r="A138" s="28">
        <v>42339</v>
      </c>
      <c r="B138" s="7">
        <v>1120631</v>
      </c>
      <c r="C138" s="28">
        <v>42394</v>
      </c>
      <c r="D138" s="27" t="s">
        <v>187</v>
      </c>
      <c r="F138" s="27" t="s">
        <v>314</v>
      </c>
      <c r="G138" s="7" t="s">
        <v>188</v>
      </c>
      <c r="H138" s="29" t="s">
        <v>189</v>
      </c>
      <c r="J138" s="32" t="s">
        <v>294</v>
      </c>
      <c r="L138" s="12" t="s">
        <v>294</v>
      </c>
    </row>
    <row r="139" spans="1:12" x14ac:dyDescent="0.25">
      <c r="A139" s="28">
        <v>42339</v>
      </c>
      <c r="B139" s="7">
        <v>1120632</v>
      </c>
      <c r="C139" s="28">
        <v>42395</v>
      </c>
      <c r="D139" s="27" t="s">
        <v>318</v>
      </c>
      <c r="F139" s="27" t="s">
        <v>335</v>
      </c>
      <c r="G139" s="7" t="s">
        <v>311</v>
      </c>
      <c r="H139" s="29" t="s">
        <v>141</v>
      </c>
      <c r="J139" s="32" t="s">
        <v>294</v>
      </c>
      <c r="L139" s="12" t="s">
        <v>294</v>
      </c>
    </row>
    <row r="140" spans="1:12" x14ac:dyDescent="0.25">
      <c r="A140" s="28">
        <v>42339</v>
      </c>
      <c r="B140" s="7">
        <v>1120633</v>
      </c>
      <c r="C140" s="28">
        <v>42396</v>
      </c>
      <c r="D140" s="27" t="s">
        <v>319</v>
      </c>
      <c r="F140" s="27" t="s">
        <v>320</v>
      </c>
      <c r="G140" s="7" t="s">
        <v>321</v>
      </c>
      <c r="H140" s="29" t="s">
        <v>140</v>
      </c>
      <c r="I140" s="33">
        <v>685</v>
      </c>
      <c r="J140" s="32">
        <v>42409</v>
      </c>
      <c r="K140" s="31">
        <v>5000</v>
      </c>
      <c r="L140" s="12">
        <f t="shared" ref="L140:L146" si="0">J140+90</f>
        <v>42499</v>
      </c>
    </row>
    <row r="141" spans="1:12" x14ac:dyDescent="0.25">
      <c r="A141" s="28">
        <v>42339</v>
      </c>
      <c r="B141" s="7">
        <v>1120634</v>
      </c>
      <c r="C141" s="28">
        <v>42396</v>
      </c>
      <c r="D141" s="27" t="s">
        <v>322</v>
      </c>
      <c r="F141" s="27" t="s">
        <v>325</v>
      </c>
      <c r="G141" s="7" t="s">
        <v>321</v>
      </c>
      <c r="H141" s="29" t="s">
        <v>140</v>
      </c>
      <c r="I141" s="33">
        <v>686</v>
      </c>
      <c r="J141" s="32">
        <v>42409</v>
      </c>
      <c r="K141" s="31">
        <v>15000</v>
      </c>
      <c r="L141" s="12">
        <f t="shared" si="0"/>
        <v>42499</v>
      </c>
    </row>
    <row r="142" spans="1:12" x14ac:dyDescent="0.25">
      <c r="A142" s="28">
        <v>42339</v>
      </c>
      <c r="B142" s="7">
        <v>1120637</v>
      </c>
      <c r="C142" s="28">
        <v>42396</v>
      </c>
      <c r="D142" s="27" t="s">
        <v>323</v>
      </c>
      <c r="F142" s="27" t="s">
        <v>335</v>
      </c>
      <c r="G142" s="7" t="s">
        <v>326</v>
      </c>
      <c r="H142" s="29" t="s">
        <v>138</v>
      </c>
      <c r="I142" s="33">
        <v>689</v>
      </c>
      <c r="J142" s="32">
        <v>42413</v>
      </c>
      <c r="K142" s="31">
        <v>4000</v>
      </c>
      <c r="L142" s="12">
        <f t="shared" si="0"/>
        <v>42503</v>
      </c>
    </row>
    <row r="143" spans="1:12" x14ac:dyDescent="0.25">
      <c r="A143" s="28">
        <v>42339</v>
      </c>
      <c r="B143" s="7">
        <v>1120638</v>
      </c>
      <c r="C143" s="28">
        <v>42396</v>
      </c>
      <c r="D143" s="27" t="s">
        <v>324</v>
      </c>
      <c r="F143" s="27" t="s">
        <v>325</v>
      </c>
      <c r="G143" s="7" t="s">
        <v>326</v>
      </c>
      <c r="H143" s="29" t="s">
        <v>145</v>
      </c>
      <c r="I143" s="33">
        <v>690</v>
      </c>
      <c r="J143" s="32">
        <v>42419</v>
      </c>
      <c r="K143" s="31">
        <v>5000</v>
      </c>
      <c r="L143" s="12">
        <f t="shared" si="0"/>
        <v>42509</v>
      </c>
    </row>
    <row r="144" spans="1:12" x14ac:dyDescent="0.25">
      <c r="A144" s="28">
        <v>42339</v>
      </c>
      <c r="B144" s="7">
        <v>1120635</v>
      </c>
      <c r="C144" s="28">
        <v>42404</v>
      </c>
      <c r="D144" s="27" t="s">
        <v>338</v>
      </c>
      <c r="E144" s="27" t="s">
        <v>362</v>
      </c>
      <c r="F144" s="27" t="s">
        <v>325</v>
      </c>
      <c r="G144" s="7" t="s">
        <v>311</v>
      </c>
      <c r="H144" s="29" t="s">
        <v>137</v>
      </c>
      <c r="I144" s="33">
        <v>693</v>
      </c>
      <c r="J144" s="32">
        <v>42421</v>
      </c>
      <c r="K144" s="31">
        <v>15000</v>
      </c>
      <c r="L144" s="12">
        <f t="shared" si="0"/>
        <v>42511</v>
      </c>
    </row>
    <row r="145" spans="1:12" x14ac:dyDescent="0.25">
      <c r="A145" s="28">
        <v>42339</v>
      </c>
      <c r="B145" s="7">
        <v>1120636</v>
      </c>
      <c r="C145" s="28">
        <v>42413</v>
      </c>
      <c r="D145" s="27" t="s">
        <v>328</v>
      </c>
      <c r="F145" s="27" t="s">
        <v>339</v>
      </c>
      <c r="G145" s="7" t="s">
        <v>326</v>
      </c>
      <c r="H145" s="29" t="s">
        <v>138</v>
      </c>
      <c r="I145" s="33">
        <v>687</v>
      </c>
      <c r="J145" s="32">
        <v>42413</v>
      </c>
      <c r="K145" s="31">
        <v>9000</v>
      </c>
      <c r="L145" s="12">
        <f t="shared" si="0"/>
        <v>42503</v>
      </c>
    </row>
    <row r="146" spans="1:12" x14ac:dyDescent="0.25">
      <c r="A146" s="28">
        <v>42339</v>
      </c>
      <c r="B146" s="7">
        <v>1120639</v>
      </c>
      <c r="C146" s="28">
        <v>42413</v>
      </c>
      <c r="D146" s="27" t="s">
        <v>341</v>
      </c>
      <c r="F146" s="27" t="s">
        <v>310</v>
      </c>
      <c r="G146" s="7" t="s">
        <v>326</v>
      </c>
      <c r="H146" s="29" t="s">
        <v>138</v>
      </c>
      <c r="I146" s="33">
        <v>688</v>
      </c>
      <c r="J146" s="32">
        <v>42413</v>
      </c>
      <c r="K146" s="31">
        <v>5000</v>
      </c>
      <c r="L146" s="12">
        <f t="shared" si="0"/>
        <v>42503</v>
      </c>
    </row>
    <row r="147" spans="1:12" x14ac:dyDescent="0.25">
      <c r="A147" s="28">
        <v>42339</v>
      </c>
      <c r="B147" s="7">
        <v>1120637</v>
      </c>
      <c r="C147" s="28">
        <v>42413</v>
      </c>
      <c r="D147" s="27" t="s">
        <v>342</v>
      </c>
      <c r="F147" s="27" t="s">
        <v>335</v>
      </c>
      <c r="G147" s="7" t="s">
        <v>326</v>
      </c>
      <c r="H147" s="29" t="s">
        <v>138</v>
      </c>
    </row>
    <row r="148" spans="1:12" x14ac:dyDescent="0.25">
      <c r="A148" s="28">
        <v>42339</v>
      </c>
      <c r="B148" s="7">
        <v>1120638</v>
      </c>
      <c r="C148" s="28">
        <v>42413</v>
      </c>
      <c r="D148" s="27" t="s">
        <v>343</v>
      </c>
      <c r="F148" s="27" t="s">
        <v>320</v>
      </c>
      <c r="G148" s="7" t="s">
        <v>326</v>
      </c>
      <c r="H148" s="29" t="s">
        <v>138</v>
      </c>
    </row>
    <row r="149" spans="1:12" x14ac:dyDescent="0.25">
      <c r="A149" s="28">
        <v>42339</v>
      </c>
      <c r="B149" s="7">
        <v>1120640</v>
      </c>
      <c r="C149" s="28">
        <v>42413</v>
      </c>
      <c r="D149" s="27" t="s">
        <v>344</v>
      </c>
      <c r="F149" s="27" t="s">
        <v>345</v>
      </c>
      <c r="G149" s="7" t="s">
        <v>326</v>
      </c>
      <c r="H149" s="29" t="s">
        <v>138</v>
      </c>
      <c r="I149" s="33">
        <v>691</v>
      </c>
      <c r="J149" s="32">
        <v>42419</v>
      </c>
      <c r="K149" s="31">
        <v>12000</v>
      </c>
      <c r="L149" s="12">
        <f>J149+90</f>
        <v>42509</v>
      </c>
    </row>
    <row r="150" spans="1:12" x14ac:dyDescent="0.25">
      <c r="A150" s="28">
        <v>42339</v>
      </c>
      <c r="B150" s="7">
        <v>1120641</v>
      </c>
      <c r="C150" s="28">
        <v>42420</v>
      </c>
      <c r="D150" s="27" t="s">
        <v>363</v>
      </c>
      <c r="F150" s="27" t="s">
        <v>335</v>
      </c>
      <c r="G150" s="7" t="s">
        <v>311</v>
      </c>
      <c r="H150" s="29" t="s">
        <v>137</v>
      </c>
      <c r="I150" s="33">
        <v>694</v>
      </c>
      <c r="J150" s="32">
        <v>42421</v>
      </c>
      <c r="K150" s="31">
        <v>4000</v>
      </c>
      <c r="L150" s="12">
        <f>J150+90</f>
        <v>42511</v>
      </c>
    </row>
  </sheetData>
  <printOptions horizontalCentered="1" gridLines="1"/>
  <pageMargins left="0" right="0" top="0.25" bottom="0.25" header="0.3" footer="0.3"/>
  <pageSetup paperSize="9" scale="79" fitToHeight="10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topLeftCell="A7" workbookViewId="0">
      <selection activeCell="B2" sqref="B2"/>
    </sheetView>
  </sheetViews>
  <sheetFormatPr defaultRowHeight="15" x14ac:dyDescent="0.25"/>
  <cols>
    <col min="1" max="1" width="24.5703125" customWidth="1"/>
    <col min="2" max="2" width="32.7109375" customWidth="1"/>
    <col min="3" max="3" width="25.5703125" customWidth="1"/>
    <col min="4" max="4" width="37" customWidth="1"/>
    <col min="5" max="5" width="25.28515625" customWidth="1"/>
    <col min="6" max="6" width="14.28515625" customWidth="1"/>
  </cols>
  <sheetData>
    <row r="1" spans="1:7" x14ac:dyDescent="0.25">
      <c r="A1" t="s">
        <v>0</v>
      </c>
      <c r="B1" s="1">
        <f ca="1">NOW()</f>
        <v>42422.634690856481</v>
      </c>
      <c r="C1" t="s">
        <v>39</v>
      </c>
      <c r="D1" s="10">
        <f ca="1">G1-30</f>
        <v>42392</v>
      </c>
      <c r="E1" s="3" t="str">
        <f ca="1">TEXT(D1,"MMM")</f>
        <v>Jan</v>
      </c>
      <c r="F1" t="str">
        <f ca="1">E1&amp;" "&amp;E2&amp;C1&amp;E3</f>
        <v>Jan 16 - Overhead Amounts.xlsx</v>
      </c>
      <c r="G1" s="10">
        <f ca="1">TODAY()</f>
        <v>42422</v>
      </c>
    </row>
    <row r="2" spans="1:7" x14ac:dyDescent="0.25">
      <c r="A2" t="s">
        <v>1</v>
      </c>
      <c r="C2" t="s">
        <v>5</v>
      </c>
      <c r="D2" t="str">
        <f>B2&amp;C2</f>
        <v>.xlsm</v>
      </c>
      <c r="E2" s="3" t="str">
        <f ca="1">TEXT(D1,"YY")</f>
        <v>16</v>
      </c>
      <c r="F2" t="str">
        <f ca="1">E1&amp;" "&amp;E2&amp;" Overheads"&amp;C2</f>
        <v>Jan 16 Overheads.xlsm</v>
      </c>
    </row>
    <row r="3" spans="1:7" x14ac:dyDescent="0.25">
      <c r="A3" t="s">
        <v>2</v>
      </c>
      <c r="B3" t="b">
        <v>0</v>
      </c>
      <c r="C3" s="3">
        <f>IF(B3=TRUE,1,0)</f>
        <v>0</v>
      </c>
      <c r="E3" t="s">
        <v>40</v>
      </c>
    </row>
    <row r="4" spans="1:7" x14ac:dyDescent="0.25">
      <c r="A4" t="s">
        <v>3</v>
      </c>
      <c r="B4" t="b">
        <v>1</v>
      </c>
      <c r="C4" s="3">
        <f>IF(B4=TRUE,1,0)</f>
        <v>1</v>
      </c>
      <c r="D4" s="3">
        <f>SUM(C3:C4)</f>
        <v>1</v>
      </c>
    </row>
    <row r="5" spans="1:7" x14ac:dyDescent="0.25">
      <c r="A5" t="s">
        <v>4</v>
      </c>
      <c r="F5" s="11"/>
    </row>
    <row r="6" spans="1:7" x14ac:dyDescent="0.25">
      <c r="A6" t="s">
        <v>16</v>
      </c>
      <c r="F6" s="12"/>
    </row>
    <row r="7" spans="1:7" x14ac:dyDescent="0.25">
      <c r="A7" t="s">
        <v>17</v>
      </c>
      <c r="B7" t="str">
        <f>UPPER(B6)</f>
        <v/>
      </c>
      <c r="C7" t="s">
        <v>5</v>
      </c>
      <c r="D7" t="str">
        <f>B7&amp;C7</f>
        <v>.xlsm</v>
      </c>
    </row>
    <row r="8" spans="1:7" x14ac:dyDescent="0.25">
      <c r="A8" t="s">
        <v>6</v>
      </c>
      <c r="B8" s="6"/>
    </row>
    <row r="9" spans="1:7" x14ac:dyDescent="0.25">
      <c r="A9" t="s">
        <v>19</v>
      </c>
      <c r="B9" s="12"/>
      <c r="C9" s="12" t="s">
        <v>5</v>
      </c>
      <c r="D9" s="12" t="str">
        <f>B9&amp;C9</f>
        <v>.xlsm</v>
      </c>
    </row>
    <row r="10" spans="1:7" x14ac:dyDescent="0.25">
      <c r="A10" t="s">
        <v>7</v>
      </c>
      <c r="B10" s="9"/>
    </row>
    <row r="11" spans="1:7" x14ac:dyDescent="0.25">
      <c r="A11" t="s">
        <v>8</v>
      </c>
      <c r="B11" s="8"/>
      <c r="C11" t="b">
        <f>ISNUMBER(B11)</f>
        <v>0</v>
      </c>
      <c r="D11" s="14">
        <f>0-B11</f>
        <v>0</v>
      </c>
    </row>
    <row r="12" spans="1:7" x14ac:dyDescent="0.25">
      <c r="A12" t="s">
        <v>46</v>
      </c>
      <c r="C12" t="s">
        <v>5</v>
      </c>
      <c r="D12" t="str">
        <f>B12&amp;C12</f>
        <v>.xlsm</v>
      </c>
    </row>
    <row r="13" spans="1:7" x14ac:dyDescent="0.25">
      <c r="A13" t="s">
        <v>9</v>
      </c>
    </row>
    <row r="14" spans="1:7" x14ac:dyDescent="0.25">
      <c r="A14" t="s">
        <v>15</v>
      </c>
      <c r="B14" s="3"/>
    </row>
    <row r="15" spans="1:7" x14ac:dyDescent="0.25">
      <c r="A15" s="12" t="s">
        <v>48</v>
      </c>
      <c r="B15" s="12"/>
      <c r="C15" s="12" t="s">
        <v>5</v>
      </c>
      <c r="D15" s="12" t="str">
        <f>B15&amp;C15</f>
        <v>.xlsm</v>
      </c>
    </row>
    <row r="16" spans="1:7" x14ac:dyDescent="0.25">
      <c r="A16" t="s">
        <v>10</v>
      </c>
      <c r="B16" s="6"/>
    </row>
    <row r="17" spans="1:7" x14ac:dyDescent="0.25">
      <c r="A17" t="s">
        <v>11</v>
      </c>
      <c r="C17" t="s">
        <v>5</v>
      </c>
      <c r="D17" t="str">
        <f>B17&amp;C17</f>
        <v>.xlsm</v>
      </c>
    </row>
    <row r="18" spans="1:7" x14ac:dyDescent="0.25">
      <c r="A18" t="s">
        <v>12</v>
      </c>
      <c r="C18" s="50">
        <f>B18</f>
        <v>0</v>
      </c>
      <c r="D18" s="50"/>
    </row>
    <row r="19" spans="1:7" x14ac:dyDescent="0.25">
      <c r="A19" t="s">
        <v>13</v>
      </c>
      <c r="B19" s="8"/>
      <c r="C19" t="b">
        <f>ISNUMBER(B19)</f>
        <v>0</v>
      </c>
      <c r="D19" s="14">
        <f>0-B19</f>
        <v>0</v>
      </c>
      <c r="E19" s="34">
        <f>IF(B28="RAND",B19,IF(B28="USD",B19*B21))</f>
        <v>0</v>
      </c>
    </row>
    <row r="20" spans="1:7" x14ac:dyDescent="0.25">
      <c r="A20" t="s">
        <v>14</v>
      </c>
      <c r="C20" s="12"/>
    </row>
    <row r="21" spans="1:7" x14ac:dyDescent="0.25">
      <c r="A21" t="s">
        <v>18</v>
      </c>
      <c r="C21" s="12" t="b">
        <f t="shared" ref="C21" si="0">ISNUMBER(B21)</f>
        <v>0</v>
      </c>
    </row>
    <row r="22" spans="1:7" x14ac:dyDescent="0.25">
      <c r="A22" s="12" t="s">
        <v>45</v>
      </c>
      <c r="C22" t="s">
        <v>5</v>
      </c>
      <c r="D22" t="str">
        <f>B22&amp;C22</f>
        <v>.xlsm</v>
      </c>
    </row>
    <row r="23" spans="1:7" x14ac:dyDescent="0.25">
      <c r="A23" t="s">
        <v>47</v>
      </c>
    </row>
    <row r="25" spans="1:7" x14ac:dyDescent="0.25">
      <c r="A25" t="s">
        <v>130</v>
      </c>
      <c r="B25" s="12"/>
      <c r="C25" s="12" t="s">
        <v>130</v>
      </c>
      <c r="D25" s="12">
        <v>100</v>
      </c>
      <c r="E25" s="12" t="s">
        <v>130</v>
      </c>
      <c r="F25">
        <v>1700</v>
      </c>
    </row>
    <row r="26" spans="1:7" x14ac:dyDescent="0.25">
      <c r="A26" t="s">
        <v>129</v>
      </c>
      <c r="B26" s="8">
        <f>B11+B25</f>
        <v>0</v>
      </c>
      <c r="C26" s="12" t="s">
        <v>129</v>
      </c>
      <c r="D26" s="14">
        <f>D19+D25</f>
        <v>100</v>
      </c>
      <c r="E26" s="12" t="s">
        <v>129</v>
      </c>
      <c r="F26" s="14">
        <f>D11+F25</f>
        <v>1700</v>
      </c>
    </row>
    <row r="27" spans="1:7" x14ac:dyDescent="0.25">
      <c r="A27" t="s">
        <v>66</v>
      </c>
      <c r="B27" s="36" t="s">
        <v>329</v>
      </c>
      <c r="C27" s="12"/>
      <c r="D27" s="14"/>
    </row>
    <row r="28" spans="1:7" x14ac:dyDescent="0.25">
      <c r="A28" t="s">
        <v>128</v>
      </c>
      <c r="B28" s="12" t="s">
        <v>56</v>
      </c>
    </row>
    <row r="29" spans="1:7" x14ac:dyDescent="0.25">
      <c r="A29" t="s">
        <v>25</v>
      </c>
      <c r="B29" s="2" t="s">
        <v>22</v>
      </c>
    </row>
    <row r="30" spans="1:7" x14ac:dyDescent="0.25">
      <c r="A30" t="s">
        <v>23</v>
      </c>
      <c r="B30">
        <f>SUM(C31:G31)</f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</row>
    <row r="31" spans="1:7" x14ac:dyDescent="0.25">
      <c r="A31" t="s">
        <v>24</v>
      </c>
      <c r="B31" t="str">
        <f>IF(C30=TRUE,"CLIVE",IF(D30=TRUE,"JASON",IF(E30=TRUE,"CHRISTINE",IF(F30=TRUE,"SAVANNAH",IF(G30=TRUE,B33,"")))))</f>
        <v/>
      </c>
      <c r="C31" t="str">
        <f>IF(C30=TRUE,1,"")</f>
        <v/>
      </c>
      <c r="D31" t="str">
        <f>IF(D30=TRUE,1,"")</f>
        <v/>
      </c>
      <c r="E31" t="str">
        <f>IF(E30=TRUE,1,"")</f>
        <v/>
      </c>
      <c r="F31" t="str">
        <f t="shared" ref="F31:G31" si="1">IF(F30=TRUE,1,"")</f>
        <v/>
      </c>
      <c r="G31" t="str">
        <f t="shared" si="1"/>
        <v/>
      </c>
    </row>
    <row r="33" spans="1:5" x14ac:dyDescent="0.25">
      <c r="A33" t="s">
        <v>26</v>
      </c>
    </row>
    <row r="34" spans="1:5" x14ac:dyDescent="0.25">
      <c r="A34" t="s">
        <v>38</v>
      </c>
      <c r="B34" s="8">
        <v>17048.36</v>
      </c>
    </row>
    <row r="35" spans="1:5" x14ac:dyDescent="0.25">
      <c r="A35" t="s">
        <v>27</v>
      </c>
    </row>
    <row r="36" spans="1:5" x14ac:dyDescent="0.25">
      <c r="A36" t="s">
        <v>28</v>
      </c>
      <c r="B36" s="7"/>
      <c r="C36" t="s">
        <v>5</v>
      </c>
      <c r="D36" t="str">
        <f>B36&amp;C36</f>
        <v>.xlsm</v>
      </c>
    </row>
    <row r="37" spans="1:5" x14ac:dyDescent="0.25">
      <c r="A37" t="s">
        <v>30</v>
      </c>
    </row>
    <row r="39" spans="1:5" x14ac:dyDescent="0.25">
      <c r="B39" t="s">
        <v>29</v>
      </c>
    </row>
    <row r="40" spans="1:5" x14ac:dyDescent="0.25">
      <c r="A40" t="s">
        <v>20</v>
      </c>
      <c r="B40" s="14"/>
    </row>
    <row r="41" spans="1:5" x14ac:dyDescent="0.25">
      <c r="A41" t="s">
        <v>21</v>
      </c>
      <c r="B41" s="8">
        <f>B37+B40</f>
        <v>0</v>
      </c>
    </row>
    <row r="44" spans="1:5" x14ac:dyDescent="0.25">
      <c r="A44" t="s">
        <v>31</v>
      </c>
      <c r="C44" t="s">
        <v>5</v>
      </c>
      <c r="D44" t="str">
        <f>B44&amp;C44</f>
        <v>.xlsm</v>
      </c>
      <c r="E44" s="12" t="s">
        <v>56</v>
      </c>
    </row>
    <row r="45" spans="1:5" x14ac:dyDescent="0.25">
      <c r="A45" t="s">
        <v>32</v>
      </c>
      <c r="C45" t="s">
        <v>5</v>
      </c>
      <c r="D45" t="str">
        <f>B45&amp;C45</f>
        <v>.xlsm</v>
      </c>
      <c r="E45" s="12" t="s">
        <v>55</v>
      </c>
    </row>
    <row r="46" spans="1:5" x14ac:dyDescent="0.25">
      <c r="A46" t="s">
        <v>33</v>
      </c>
    </row>
    <row r="47" spans="1:5" x14ac:dyDescent="0.25">
      <c r="A47" s="19" t="s">
        <v>57</v>
      </c>
      <c r="B47" s="20"/>
      <c r="C47" t="b">
        <f>ISNUMBER(B47)</f>
        <v>0</v>
      </c>
    </row>
    <row r="48" spans="1:5" x14ac:dyDescent="0.25">
      <c r="A48" t="s">
        <v>34</v>
      </c>
    </row>
    <row r="49" spans="1:4" x14ac:dyDescent="0.25">
      <c r="A49" t="s">
        <v>35</v>
      </c>
      <c r="B49" s="6">
        <v>42383</v>
      </c>
    </row>
    <row r="50" spans="1:4" x14ac:dyDescent="0.25">
      <c r="A50" t="s">
        <v>59</v>
      </c>
      <c r="B50" s="21">
        <v>15.564299999999999</v>
      </c>
      <c r="C50" s="12" t="b">
        <f>ISNUMBER(B50)</f>
        <v>1</v>
      </c>
    </row>
    <row r="51" spans="1:4" x14ac:dyDescent="0.25">
      <c r="B51" s="20">
        <f>B50*B47</f>
        <v>0</v>
      </c>
    </row>
    <row r="52" spans="1:4" x14ac:dyDescent="0.25">
      <c r="A52" s="19" t="s">
        <v>58</v>
      </c>
      <c r="B52" s="20">
        <f>IF(E44=E45,B47,B51)</f>
        <v>0</v>
      </c>
      <c r="D52" s="12" t="s">
        <v>5</v>
      </c>
    </row>
    <row r="53" spans="1:4" x14ac:dyDescent="0.25">
      <c r="A53" t="s">
        <v>36</v>
      </c>
      <c r="B53" t="s">
        <v>112</v>
      </c>
      <c r="C53" t="s">
        <v>56</v>
      </c>
      <c r="D53" t="str">
        <f>B53&amp;D52</f>
        <v>US$ PETTY CASH.xlsm</v>
      </c>
    </row>
    <row r="54" spans="1:4" x14ac:dyDescent="0.25">
      <c r="A54" t="s">
        <v>37</v>
      </c>
      <c r="B54" t="str">
        <f>B53</f>
        <v>US$ PETTY CASH</v>
      </c>
      <c r="C54">
        <v>11693</v>
      </c>
    </row>
    <row r="56" spans="1:4" x14ac:dyDescent="0.25">
      <c r="A56" t="s">
        <v>41</v>
      </c>
    </row>
    <row r="57" spans="1:4" x14ac:dyDescent="0.25">
      <c r="A57" t="s">
        <v>42</v>
      </c>
      <c r="B57" t="b">
        <v>1</v>
      </c>
    </row>
    <row r="59" spans="1:4" x14ac:dyDescent="0.25">
      <c r="A59" t="s">
        <v>74</v>
      </c>
    </row>
    <row r="60" spans="1:4" x14ac:dyDescent="0.25">
      <c r="A60" t="s">
        <v>355</v>
      </c>
    </row>
    <row r="62" spans="1:4" x14ac:dyDescent="0.25">
      <c r="A62" t="s">
        <v>131</v>
      </c>
      <c r="B62" t="b">
        <v>0</v>
      </c>
      <c r="C62">
        <f>IF(B62=TRUE,1,0)</f>
        <v>0</v>
      </c>
    </row>
    <row r="63" spans="1:4" x14ac:dyDescent="0.25">
      <c r="A63" t="s">
        <v>132</v>
      </c>
      <c r="B63" t="b">
        <v>0</v>
      </c>
      <c r="C63" s="12">
        <f>IF(B63=TRUE,1,0)</f>
        <v>0</v>
      </c>
    </row>
    <row r="64" spans="1:4" x14ac:dyDescent="0.25">
      <c r="A64" t="s">
        <v>54</v>
      </c>
      <c r="B64" t="b">
        <f>IF(B62=TRUE,"USD",IF(B63=TRUE,"RAND"))</f>
        <v>0</v>
      </c>
      <c r="C64">
        <f>SUM(C62:C63)</f>
        <v>0</v>
      </c>
    </row>
    <row r="66" spans="1:4" x14ac:dyDescent="0.25">
      <c r="A66" t="s">
        <v>346</v>
      </c>
      <c r="B66" t="b">
        <v>0</v>
      </c>
    </row>
    <row r="67" spans="1:4" x14ac:dyDescent="0.25">
      <c r="A67" s="12" t="s">
        <v>356</v>
      </c>
      <c r="B67" t="b">
        <v>0</v>
      </c>
    </row>
    <row r="70" spans="1:4" x14ac:dyDescent="0.25">
      <c r="A70" t="s">
        <v>134</v>
      </c>
      <c r="B70" t="s">
        <v>135</v>
      </c>
    </row>
    <row r="72" spans="1:4" x14ac:dyDescent="0.25">
      <c r="A72" t="s">
        <v>154</v>
      </c>
      <c r="B72" t="b">
        <v>0</v>
      </c>
    </row>
    <row r="73" spans="1:4" x14ac:dyDescent="0.25">
      <c r="A73" t="s">
        <v>156</v>
      </c>
      <c r="B73" t="str">
        <f ca="1">A73&amp;B75&amp;B74&amp;A80&amp;B76&amp;A77&amp;B79&amp;A79&amp;B77&amp;A81&amp;B77&amp;A80&amp;B78</f>
        <v>CD3 PAYMENT REF - 22-2-16 - R0  132 x CD3'S total R1107500</v>
      </c>
      <c r="C73" t="s">
        <v>40</v>
      </c>
      <c r="D73" t="str">
        <f ca="1">B73&amp;C73</f>
        <v>CD3 PAYMENT REF - 22-2-16 - R0  132 x CD3'S total R1107500.xlsx</v>
      </c>
    </row>
    <row r="74" spans="1:4" s="12" customFormat="1" x14ac:dyDescent="0.25">
      <c r="A74" s="12" t="s">
        <v>147</v>
      </c>
      <c r="B74" s="12" t="s">
        <v>148</v>
      </c>
    </row>
    <row r="75" spans="1:4" x14ac:dyDescent="0.25">
      <c r="A75" s="35">
        <f ca="1">TODAY()</f>
        <v>42422</v>
      </c>
      <c r="B75" s="36" t="str">
        <f ca="1">TEXT(A75,"d-m-y")</f>
        <v>22-2-16</v>
      </c>
    </row>
    <row r="76" spans="1:4" x14ac:dyDescent="0.25">
      <c r="A76" t="s">
        <v>149</v>
      </c>
      <c r="B76" s="34">
        <f>E19</f>
        <v>0</v>
      </c>
    </row>
    <row r="77" spans="1:4" x14ac:dyDescent="0.25">
      <c r="A77" t="s">
        <v>157</v>
      </c>
      <c r="B77" s="12" t="s">
        <v>153</v>
      </c>
    </row>
    <row r="78" spans="1:4" x14ac:dyDescent="0.25">
      <c r="A78" t="s">
        <v>150</v>
      </c>
      <c r="B78" s="34">
        <f>SUM('CD3'!K2:K5076)</f>
        <v>1107500</v>
      </c>
    </row>
    <row r="79" spans="1:4" x14ac:dyDescent="0.25">
      <c r="A79" t="s">
        <v>152</v>
      </c>
      <c r="B79">
        <f>COUNT('CD3'!K2:K5077)</f>
        <v>132</v>
      </c>
    </row>
    <row r="80" spans="1:4" x14ac:dyDescent="0.25">
      <c r="A80" t="s">
        <v>151</v>
      </c>
    </row>
    <row r="81" spans="1:4" x14ac:dyDescent="0.25">
      <c r="A81" t="s">
        <v>155</v>
      </c>
    </row>
    <row r="83" spans="1:4" x14ac:dyDescent="0.25">
      <c r="A83" t="s">
        <v>158</v>
      </c>
      <c r="B83">
        <v>1099636</v>
      </c>
    </row>
    <row r="87" spans="1:4" x14ac:dyDescent="0.25">
      <c r="A87" t="s">
        <v>53</v>
      </c>
      <c r="B87" t="b">
        <v>1</v>
      </c>
      <c r="C87">
        <f>IF(B87=TRUE,1,0)</f>
        <v>1</v>
      </c>
    </row>
    <row r="88" spans="1:4" x14ac:dyDescent="0.25">
      <c r="A88" s="12" t="s">
        <v>52</v>
      </c>
      <c r="B88" t="b">
        <v>0</v>
      </c>
      <c r="C88" s="12">
        <f>IF(B88=TRUE,1,0)</f>
        <v>0</v>
      </c>
    </row>
    <row r="89" spans="1:4" x14ac:dyDescent="0.25">
      <c r="B89" t="str">
        <f>IF(B87=TRUE,"USD",IF(B88=TRUE,"RAND"))</f>
        <v>USD</v>
      </c>
      <c r="C89">
        <f>SUM(C87:C88)</f>
        <v>1</v>
      </c>
    </row>
    <row r="90" spans="1:4" x14ac:dyDescent="0.25">
      <c r="B90" s="12"/>
      <c r="C90" s="12"/>
      <c r="D90" s="12"/>
    </row>
    <row r="91" spans="1:4" x14ac:dyDescent="0.25">
      <c r="A91" s="12" t="s">
        <v>50</v>
      </c>
      <c r="B91" s="12" t="s">
        <v>133</v>
      </c>
      <c r="C91" s="12" t="str">
        <f>UPPER(B91)</f>
        <v>DUNCAN'S PRIVATE HOOKER FUND</v>
      </c>
      <c r="D91" s="12"/>
    </row>
    <row r="92" spans="1:4" x14ac:dyDescent="0.25">
      <c r="A92" s="12" t="s">
        <v>17</v>
      </c>
      <c r="B92" s="12" t="str">
        <f>UPPER(B91)</f>
        <v>DUNCAN'S PRIVATE HOOKER FUND</v>
      </c>
      <c r="C92" s="12" t="s">
        <v>5</v>
      </c>
      <c r="D92" s="12" t="str">
        <f>B92&amp;C92</f>
        <v>DUNCAN'S PRIVATE HOOKER FUND.xlsm</v>
      </c>
    </row>
    <row r="93" spans="1:4" x14ac:dyDescent="0.25">
      <c r="A93" s="12" t="s">
        <v>51</v>
      </c>
      <c r="B93" s="12"/>
      <c r="C93" s="12"/>
      <c r="D93" s="12"/>
    </row>
    <row r="96" spans="1:4" x14ac:dyDescent="0.25">
      <c r="A96" t="s">
        <v>348</v>
      </c>
    </row>
    <row r="97" spans="1:2" x14ac:dyDescent="0.25">
      <c r="A97" t="s">
        <v>349</v>
      </c>
      <c r="B97" s="14">
        <f>B98/115*100</f>
        <v>0</v>
      </c>
    </row>
    <row r="98" spans="1:2" x14ac:dyDescent="0.25">
      <c r="A98" t="s">
        <v>350</v>
      </c>
      <c r="B98" s="14">
        <f>B11</f>
        <v>0</v>
      </c>
    </row>
    <row r="99" spans="1:2" x14ac:dyDescent="0.25">
      <c r="A99" t="s">
        <v>351</v>
      </c>
      <c r="B99" s="14">
        <f>B97*15%</f>
        <v>0</v>
      </c>
    </row>
    <row r="101" spans="1:2" x14ac:dyDescent="0.25">
      <c r="A101" t="s">
        <v>357</v>
      </c>
      <c r="B101">
        <v>2400</v>
      </c>
    </row>
    <row r="102" spans="1:2" x14ac:dyDescent="0.25">
      <c r="A102" t="s">
        <v>358</v>
      </c>
      <c r="B102">
        <v>250</v>
      </c>
    </row>
  </sheetData>
  <mergeCells count="1">
    <mergeCell ref="C18:D1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"/>
  <sheetViews>
    <sheetView workbookViewId="0">
      <selection sqref="A1:A1048576"/>
    </sheetView>
  </sheetViews>
  <sheetFormatPr defaultRowHeight="15" x14ac:dyDescent="0.25"/>
  <cols>
    <col min="1" max="1" width="35.85546875" style="12" customWidth="1"/>
    <col min="2" max="2" width="10.5703125" style="12" bestFit="1" customWidth="1"/>
    <col min="3" max="3" width="44.42578125" style="15" customWidth="1"/>
    <col min="4" max="4" width="21" style="5" customWidth="1"/>
    <col min="5" max="5" width="51.7109375" style="12" customWidth="1"/>
    <col min="6" max="6" width="17.42578125" style="36" customWidth="1"/>
    <col min="8" max="8" width="62.140625" style="15" customWidth="1"/>
    <col min="9" max="9" width="27.85546875" style="15" customWidth="1"/>
  </cols>
  <sheetData>
    <row r="1" spans="1:9" x14ac:dyDescent="0.25">
      <c r="A1" s="13" t="s">
        <v>364</v>
      </c>
      <c r="B1" s="13" t="s">
        <v>54</v>
      </c>
      <c r="C1" s="18" t="s">
        <v>60</v>
      </c>
      <c r="D1" s="4"/>
      <c r="E1" s="13"/>
      <c r="F1" s="45"/>
      <c r="H1" s="13"/>
      <c r="I1" s="13"/>
    </row>
    <row r="2" spans="1:9" x14ac:dyDescent="0.25">
      <c r="B2" s="12" t="s">
        <v>55</v>
      </c>
      <c r="C2" s="12" t="s">
        <v>44</v>
      </c>
      <c r="H2" s="12"/>
      <c r="I2" s="12"/>
    </row>
    <row r="3" spans="1:9" x14ac:dyDescent="0.25">
      <c r="B3" s="12" t="s">
        <v>56</v>
      </c>
      <c r="C3" s="12" t="s">
        <v>330</v>
      </c>
      <c r="H3" s="12"/>
      <c r="I3" s="12"/>
    </row>
    <row r="4" spans="1:9" x14ac:dyDescent="0.25">
      <c r="B4" s="12" t="s">
        <v>55</v>
      </c>
      <c r="C4" s="12" t="s">
        <v>61</v>
      </c>
      <c r="H4" s="12"/>
      <c r="I4" s="12"/>
    </row>
    <row r="5" spans="1:9" x14ac:dyDescent="0.25">
      <c r="B5" s="12" t="s">
        <v>56</v>
      </c>
      <c r="C5" s="12" t="s">
        <v>62</v>
      </c>
      <c r="H5" s="12"/>
      <c r="I5" s="12"/>
    </row>
    <row r="6" spans="1:9" x14ac:dyDescent="0.25">
      <c r="C6" s="12" t="s">
        <v>331</v>
      </c>
      <c r="H6" s="12"/>
      <c r="I6" s="12"/>
    </row>
    <row r="7" spans="1:9" x14ac:dyDescent="0.25">
      <c r="C7" s="12" t="s">
        <v>63</v>
      </c>
      <c r="H7" s="12"/>
      <c r="I7" s="12"/>
    </row>
    <row r="8" spans="1:9" x14ac:dyDescent="0.25">
      <c r="C8" s="12" t="s">
        <v>64</v>
      </c>
      <c r="H8" s="12"/>
      <c r="I8" s="12"/>
    </row>
    <row r="9" spans="1:9" x14ac:dyDescent="0.25">
      <c r="C9" s="12" t="s">
        <v>332</v>
      </c>
      <c r="H9" s="12"/>
      <c r="I9" s="12"/>
    </row>
    <row r="10" spans="1:9" x14ac:dyDescent="0.25">
      <c r="C10" s="12" t="s">
        <v>111</v>
      </c>
      <c r="H10" s="12"/>
      <c r="I10" s="12"/>
    </row>
    <row r="11" spans="1:9" x14ac:dyDescent="0.25">
      <c r="C11" s="12" t="s">
        <v>65</v>
      </c>
      <c r="H11" s="12"/>
      <c r="I11" s="12"/>
    </row>
    <row r="12" spans="1:9" x14ac:dyDescent="0.25">
      <c r="C12" s="12" t="s">
        <v>333</v>
      </c>
      <c r="H12" s="12"/>
      <c r="I12" s="12"/>
    </row>
    <row r="13" spans="1:9" x14ac:dyDescent="0.25">
      <c r="C13" s="12" t="s">
        <v>334</v>
      </c>
      <c r="H13" s="12"/>
      <c r="I13" s="12"/>
    </row>
    <row r="14" spans="1:9" x14ac:dyDescent="0.25">
      <c r="C14" s="12" t="s">
        <v>136</v>
      </c>
      <c r="H14" s="12"/>
      <c r="I14" s="12"/>
    </row>
    <row r="15" spans="1:9" x14ac:dyDescent="0.25">
      <c r="C15" s="12"/>
      <c r="I15" s="12"/>
    </row>
    <row r="16" spans="1:9" x14ac:dyDescent="0.25">
      <c r="H16" s="12"/>
      <c r="I16" s="12"/>
    </row>
    <row r="17" spans="3:9" x14ac:dyDescent="0.25">
      <c r="H17" s="12"/>
    </row>
    <row r="18" spans="3:9" x14ac:dyDescent="0.25">
      <c r="H18" s="12"/>
      <c r="I18" s="12"/>
    </row>
    <row r="19" spans="3:9" x14ac:dyDescent="0.25">
      <c r="C19" s="12"/>
      <c r="H19" s="12"/>
      <c r="I19" s="12"/>
    </row>
    <row r="20" spans="3:9" x14ac:dyDescent="0.25">
      <c r="C20" s="12"/>
      <c r="H20" s="12"/>
      <c r="I20" s="12"/>
    </row>
    <row r="21" spans="3:9" x14ac:dyDescent="0.25">
      <c r="C21" s="12"/>
      <c r="H21" s="12"/>
      <c r="I21" s="12"/>
    </row>
    <row r="22" spans="3:9" x14ac:dyDescent="0.25">
      <c r="H22" s="12"/>
      <c r="I22" s="12"/>
    </row>
    <row r="23" spans="3:9" x14ac:dyDescent="0.25">
      <c r="C23" s="12"/>
      <c r="I23" s="12"/>
    </row>
    <row r="24" spans="3:9" x14ac:dyDescent="0.25">
      <c r="C24" s="12"/>
      <c r="I24" s="12"/>
    </row>
    <row r="25" spans="3:9" x14ac:dyDescent="0.25">
      <c r="C25" s="12"/>
    </row>
    <row r="26" spans="3:9" x14ac:dyDescent="0.25">
      <c r="C26" s="12"/>
    </row>
    <row r="28" spans="3:9" x14ac:dyDescent="0.25">
      <c r="C28" s="12"/>
    </row>
    <row r="29" spans="3:9" x14ac:dyDescent="0.25">
      <c r="C29" s="12"/>
      <c r="H29" s="12"/>
    </row>
    <row r="30" spans="3:9" x14ac:dyDescent="0.25">
      <c r="C30" s="12"/>
      <c r="H30" s="12"/>
    </row>
    <row r="31" spans="3:9" x14ac:dyDescent="0.25">
      <c r="C31" s="12"/>
      <c r="H31" s="12"/>
      <c r="I31" s="12"/>
    </row>
    <row r="32" spans="3:9" x14ac:dyDescent="0.25">
      <c r="C32" s="12"/>
      <c r="H32" s="12"/>
      <c r="I32" s="12"/>
    </row>
    <row r="33" spans="3:9" x14ac:dyDescent="0.25">
      <c r="C33" s="12"/>
      <c r="H33" s="12"/>
      <c r="I33" s="12"/>
    </row>
    <row r="34" spans="3:9" x14ac:dyDescent="0.25">
      <c r="C34" s="12"/>
      <c r="H34" s="12"/>
      <c r="I34" s="12"/>
    </row>
    <row r="35" spans="3:9" x14ac:dyDescent="0.25">
      <c r="C35" s="12"/>
      <c r="H35" s="12"/>
      <c r="I35" s="12"/>
    </row>
    <row r="36" spans="3:9" x14ac:dyDescent="0.25">
      <c r="C36" s="12"/>
      <c r="H36" s="12"/>
      <c r="I36" s="12"/>
    </row>
    <row r="37" spans="3:9" x14ac:dyDescent="0.25">
      <c r="C37" s="12"/>
      <c r="H37" s="12"/>
      <c r="I37" s="12"/>
    </row>
    <row r="38" spans="3:9" x14ac:dyDescent="0.25">
      <c r="C38" s="12"/>
      <c r="H38" s="12"/>
      <c r="I38" s="12"/>
    </row>
    <row r="39" spans="3:9" x14ac:dyDescent="0.25">
      <c r="C39" s="12"/>
      <c r="H39" s="12"/>
      <c r="I39" s="12"/>
    </row>
    <row r="40" spans="3:9" x14ac:dyDescent="0.25">
      <c r="C40" s="12"/>
      <c r="H40" s="12"/>
      <c r="I40" s="12"/>
    </row>
    <row r="41" spans="3:9" x14ac:dyDescent="0.25">
      <c r="C41" s="12"/>
      <c r="H41" s="12"/>
      <c r="I41" s="12"/>
    </row>
    <row r="42" spans="3:9" x14ac:dyDescent="0.25">
      <c r="C42" s="12"/>
      <c r="H42" s="12"/>
      <c r="I42" s="12"/>
    </row>
    <row r="43" spans="3:9" x14ac:dyDescent="0.25">
      <c r="H43" s="12"/>
      <c r="I43" s="12"/>
    </row>
    <row r="44" spans="3:9" x14ac:dyDescent="0.25">
      <c r="H44" s="12"/>
      <c r="I44" s="12"/>
    </row>
    <row r="45" spans="3:9" x14ac:dyDescent="0.25">
      <c r="C45" s="12"/>
      <c r="H45" s="12"/>
      <c r="I45" s="12"/>
    </row>
    <row r="46" spans="3:9" x14ac:dyDescent="0.25">
      <c r="H46" s="12"/>
      <c r="I46" s="12"/>
    </row>
    <row r="47" spans="3:9" x14ac:dyDescent="0.25">
      <c r="C47" s="12"/>
      <c r="I47" s="12"/>
    </row>
    <row r="48" spans="3:9" x14ac:dyDescent="0.25">
      <c r="C48" s="12"/>
      <c r="I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6" spans="3:3" x14ac:dyDescent="0.25">
      <c r="C66" s="12"/>
    </row>
    <row r="67" spans="3:3" x14ac:dyDescent="0.25">
      <c r="C67" s="12"/>
    </row>
    <row r="68" spans="3:3" x14ac:dyDescent="0.25">
      <c r="C68" s="12"/>
    </row>
    <row r="69" spans="3:3" x14ac:dyDescent="0.25">
      <c r="C69" s="12"/>
    </row>
    <row r="70" spans="3:3" x14ac:dyDescent="0.25">
      <c r="C70" s="12"/>
    </row>
    <row r="71" spans="3:3" x14ac:dyDescent="0.25">
      <c r="C71" s="12"/>
    </row>
    <row r="72" spans="3:3" x14ac:dyDescent="0.25">
      <c r="C72" s="12"/>
    </row>
    <row r="73" spans="3:3" x14ac:dyDescent="0.25">
      <c r="C73" s="12"/>
    </row>
    <row r="74" spans="3:3" x14ac:dyDescent="0.25">
      <c r="C74" s="12"/>
    </row>
    <row r="75" spans="3:3" x14ac:dyDescent="0.25">
      <c r="C75" s="12"/>
    </row>
    <row r="76" spans="3:3" x14ac:dyDescent="0.25">
      <c r="C76" s="12"/>
    </row>
    <row r="77" spans="3:3" x14ac:dyDescent="0.25">
      <c r="C77" s="12"/>
    </row>
    <row r="78" spans="3:3" x14ac:dyDescent="0.25">
      <c r="C78" s="12"/>
    </row>
    <row r="79" spans="3:3" x14ac:dyDescent="0.25">
      <c r="C79" s="12"/>
    </row>
    <row r="80" spans="3:3" x14ac:dyDescent="0.25">
      <c r="C80" s="12"/>
    </row>
    <row r="83" spans="3:3" x14ac:dyDescent="0.25">
      <c r="C83" s="12"/>
    </row>
    <row r="84" spans="3:3" x14ac:dyDescent="0.25">
      <c r="C84" s="12"/>
    </row>
    <row r="85" spans="3:3" x14ac:dyDescent="0.25">
      <c r="C85" s="12"/>
    </row>
    <row r="86" spans="3:3" x14ac:dyDescent="0.25">
      <c r="C86" s="12"/>
    </row>
    <row r="87" spans="3:3" x14ac:dyDescent="0.25">
      <c r="C87" s="12"/>
    </row>
    <row r="88" spans="3:3" x14ac:dyDescent="0.25">
      <c r="C88" s="12"/>
    </row>
    <row r="89" spans="3:3" x14ac:dyDescent="0.25">
      <c r="C89" s="12"/>
    </row>
    <row r="90" spans="3:3" x14ac:dyDescent="0.25">
      <c r="C90" s="12"/>
    </row>
    <row r="91" spans="3:3" x14ac:dyDescent="0.25">
      <c r="C91" s="12"/>
    </row>
    <row r="92" spans="3:3" x14ac:dyDescent="0.25">
      <c r="C92" s="12"/>
    </row>
    <row r="93" spans="3:3" x14ac:dyDescent="0.25">
      <c r="C93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</sheetData>
  <sortState ref="E2:F100">
    <sortCondition ref="E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7"/>
  <sheetViews>
    <sheetView workbookViewId="0">
      <pane ySplit="1" topLeftCell="A2" activePane="bottomLeft" state="frozen"/>
      <selection sqref="A1:M1048576"/>
      <selection pane="bottomLeft"/>
    </sheetView>
  </sheetViews>
  <sheetFormatPr defaultRowHeight="15" x14ac:dyDescent="0.25"/>
  <cols>
    <col min="1" max="1" width="18.85546875" style="28" customWidth="1"/>
    <col min="2" max="2" width="16.5703125" style="27" customWidth="1"/>
    <col min="3" max="3" width="43.5703125" style="29" customWidth="1"/>
    <col min="4" max="4" width="46.85546875" style="16" customWidth="1"/>
    <col min="5" max="5" width="18.28515625" style="14" customWidth="1"/>
    <col min="6" max="6" width="18.85546875" style="28" customWidth="1"/>
    <col min="7" max="7" width="15.85546875" style="48" bestFit="1" customWidth="1"/>
    <col min="8" max="8" width="63" style="12" customWidth="1"/>
    <col min="9" max="16384" width="9.140625" style="12"/>
  </cols>
  <sheetData>
    <row r="1" spans="1:9" s="13" customFormat="1" x14ac:dyDescent="0.25">
      <c r="A1" s="23" t="s">
        <v>67</v>
      </c>
      <c r="B1" s="13" t="s">
        <v>71</v>
      </c>
      <c r="C1" s="13" t="s">
        <v>68</v>
      </c>
      <c r="D1" s="17" t="s">
        <v>69</v>
      </c>
      <c r="E1" s="17" t="s">
        <v>353</v>
      </c>
      <c r="F1" s="23" t="s">
        <v>168</v>
      </c>
      <c r="G1" s="46" t="s">
        <v>354</v>
      </c>
      <c r="H1" s="13" t="s">
        <v>73</v>
      </c>
    </row>
    <row r="2" spans="1:9" x14ac:dyDescent="0.25">
      <c r="A2" s="24"/>
      <c r="B2" s="3"/>
      <c r="C2" s="25"/>
      <c r="D2" s="12"/>
      <c r="F2" s="24"/>
      <c r="G2" s="47"/>
    </row>
    <row r="3" spans="1:9" x14ac:dyDescent="0.25">
      <c r="A3" s="24"/>
      <c r="B3" s="3"/>
      <c r="C3" s="25"/>
      <c r="D3" s="12"/>
      <c r="F3" s="24"/>
      <c r="G3" s="47"/>
    </row>
    <row r="4" spans="1:9" x14ac:dyDescent="0.25">
      <c r="A4" s="24"/>
      <c r="B4" s="3"/>
      <c r="C4" s="25"/>
      <c r="D4" s="12"/>
      <c r="F4" s="24"/>
      <c r="G4" s="47"/>
    </row>
    <row r="5" spans="1:9" x14ac:dyDescent="0.25">
      <c r="A5" s="24"/>
      <c r="B5" s="3"/>
      <c r="C5" s="25"/>
      <c r="D5" s="12"/>
      <c r="F5" s="24"/>
      <c r="G5" s="47"/>
    </row>
    <row r="6" spans="1:9" x14ac:dyDescent="0.25">
      <c r="A6" s="24"/>
      <c r="B6" s="3"/>
      <c r="C6" s="25"/>
      <c r="D6" s="12"/>
      <c r="F6" s="24"/>
      <c r="G6" s="47"/>
    </row>
    <row r="7" spans="1:9" x14ac:dyDescent="0.25">
      <c r="A7" s="24"/>
      <c r="B7" s="3"/>
      <c r="C7" s="25"/>
      <c r="D7" s="12"/>
      <c r="F7" s="24"/>
      <c r="G7" s="47"/>
      <c r="I7" s="14"/>
    </row>
    <row r="8" spans="1:9" x14ac:dyDescent="0.25">
      <c r="A8" s="24"/>
      <c r="B8" s="3"/>
      <c r="C8" s="25"/>
      <c r="D8" s="12"/>
      <c r="F8" s="24"/>
      <c r="G8" s="47"/>
      <c r="I8" s="14"/>
    </row>
    <row r="9" spans="1:9" x14ac:dyDescent="0.25">
      <c r="A9" s="24"/>
      <c r="B9" s="3"/>
      <c r="C9" s="25"/>
      <c r="D9" s="12"/>
      <c r="F9" s="24"/>
      <c r="G9" s="47"/>
      <c r="I9" s="14"/>
    </row>
    <row r="10" spans="1:9" x14ac:dyDescent="0.25">
      <c r="A10" s="24"/>
      <c r="B10" s="3"/>
      <c r="C10" s="25"/>
      <c r="D10" s="12"/>
      <c r="F10" s="24"/>
      <c r="G10" s="47"/>
    </row>
    <row r="11" spans="1:9" x14ac:dyDescent="0.25">
      <c r="A11" s="24"/>
      <c r="B11" s="3"/>
      <c r="C11" s="25"/>
      <c r="D11" s="12"/>
      <c r="F11" s="24"/>
      <c r="G11" s="47"/>
      <c r="I11" s="14"/>
    </row>
    <row r="12" spans="1:9" x14ac:dyDescent="0.25">
      <c r="A12" s="24"/>
      <c r="B12" s="3"/>
      <c r="C12" s="25"/>
      <c r="D12" s="12"/>
      <c r="F12" s="24"/>
      <c r="G12" s="47"/>
      <c r="I12" s="14"/>
    </row>
    <row r="13" spans="1:9" x14ac:dyDescent="0.25">
      <c r="A13" s="24"/>
      <c r="B13" s="3"/>
      <c r="C13" s="25"/>
      <c r="D13" s="12"/>
      <c r="F13" s="24"/>
      <c r="G13" s="47"/>
      <c r="I13" s="14"/>
    </row>
    <row r="14" spans="1:9" x14ac:dyDescent="0.25">
      <c r="A14" s="26"/>
      <c r="C14" s="44"/>
      <c r="F14" s="26"/>
      <c r="G14" s="47"/>
      <c r="I14" s="14"/>
    </row>
    <row r="15" spans="1:9" x14ac:dyDescent="0.25">
      <c r="A15" s="26"/>
      <c r="C15" s="44"/>
      <c r="F15" s="26"/>
      <c r="G15" s="47"/>
    </row>
    <row r="16" spans="1:9" x14ac:dyDescent="0.25">
      <c r="A16" s="26"/>
      <c r="C16" s="44"/>
      <c r="F16" s="26"/>
      <c r="G16" s="47"/>
      <c r="I16" s="14"/>
    </row>
    <row r="17" spans="1:7" x14ac:dyDescent="0.25">
      <c r="A17" s="26"/>
      <c r="B17" s="3"/>
      <c r="C17" s="44"/>
      <c r="F17" s="26"/>
      <c r="G17" s="47"/>
    </row>
    <row r="18" spans="1:7" x14ac:dyDescent="0.25">
      <c r="A18" s="26"/>
      <c r="B18" s="3"/>
      <c r="C18" s="44"/>
      <c r="F18" s="26"/>
      <c r="G18" s="47"/>
    </row>
    <row r="19" spans="1:7" x14ac:dyDescent="0.25">
      <c r="A19" s="26"/>
      <c r="B19" s="3"/>
      <c r="C19" s="44"/>
      <c r="F19" s="26"/>
      <c r="G19" s="47"/>
    </row>
    <row r="20" spans="1:7" x14ac:dyDescent="0.25">
      <c r="A20" s="26"/>
      <c r="B20" s="3"/>
      <c r="C20" s="44"/>
      <c r="F20" s="26"/>
      <c r="G20" s="47"/>
    </row>
    <row r="21" spans="1:7" x14ac:dyDescent="0.25">
      <c r="A21" s="26"/>
      <c r="B21" s="3"/>
      <c r="C21" s="44"/>
      <c r="F21" s="26"/>
      <c r="G21" s="47"/>
    </row>
    <row r="22" spans="1:7" x14ac:dyDescent="0.25">
      <c r="A22" s="26"/>
      <c r="B22" s="3"/>
      <c r="C22" s="44"/>
      <c r="F22" s="26"/>
      <c r="G22" s="47"/>
    </row>
    <row r="23" spans="1:7" x14ac:dyDescent="0.25">
      <c r="A23" s="26"/>
      <c r="B23" s="3"/>
      <c r="C23" s="44"/>
      <c r="F23" s="26"/>
      <c r="G23" s="47"/>
    </row>
    <row r="24" spans="1:7" x14ac:dyDescent="0.25">
      <c r="A24" s="26"/>
      <c r="B24" s="3"/>
      <c r="C24" s="44"/>
      <c r="F24" s="26"/>
      <c r="G24" s="47"/>
    </row>
    <row r="25" spans="1:7" x14ac:dyDescent="0.25">
      <c r="A25" s="26"/>
      <c r="B25" s="3"/>
      <c r="C25" s="44"/>
      <c r="F25" s="26"/>
      <c r="G25" s="47"/>
    </row>
    <row r="26" spans="1:7" x14ac:dyDescent="0.25">
      <c r="A26" s="26"/>
      <c r="B26" s="3"/>
      <c r="C26" s="44"/>
      <c r="F26" s="26"/>
      <c r="G26" s="47"/>
    </row>
    <row r="27" spans="1:7" x14ac:dyDescent="0.25">
      <c r="A27" s="26"/>
      <c r="B27" s="3"/>
      <c r="C27" s="44"/>
      <c r="F27" s="26"/>
      <c r="G27" s="47"/>
    </row>
    <row r="28" spans="1:7" x14ac:dyDescent="0.25">
      <c r="A28" s="26"/>
      <c r="B28" s="3"/>
      <c r="C28" s="44"/>
      <c r="F28" s="26"/>
      <c r="G28" s="47"/>
    </row>
    <row r="29" spans="1:7" x14ac:dyDescent="0.25">
      <c r="A29" s="26"/>
      <c r="B29" s="3"/>
      <c r="C29" s="44"/>
      <c r="F29" s="26"/>
      <c r="G29" s="47"/>
    </row>
    <row r="30" spans="1:7" x14ac:dyDescent="0.25">
      <c r="A30" s="26"/>
      <c r="B30" s="3"/>
      <c r="C30" s="44"/>
      <c r="F30" s="26"/>
      <c r="G30" s="47"/>
    </row>
    <row r="31" spans="1:7" x14ac:dyDescent="0.25">
      <c r="A31" s="26"/>
      <c r="B31" s="3"/>
      <c r="C31" s="44"/>
      <c r="F31" s="26"/>
      <c r="G31" s="47"/>
    </row>
    <row r="32" spans="1:7" x14ac:dyDescent="0.25">
      <c r="A32" s="26"/>
      <c r="B32" s="3"/>
      <c r="C32" s="44"/>
      <c r="F32" s="26"/>
      <c r="G32" s="47"/>
    </row>
    <row r="33" spans="1:7" x14ac:dyDescent="0.25">
      <c r="A33" s="26"/>
      <c r="B33" s="3"/>
      <c r="C33" s="44"/>
      <c r="F33" s="26"/>
      <c r="G33" s="47"/>
    </row>
    <row r="34" spans="1:7" x14ac:dyDescent="0.25">
      <c r="A34" s="26"/>
      <c r="B34" s="3"/>
      <c r="C34" s="44"/>
      <c r="F34" s="26"/>
      <c r="G34" s="47"/>
    </row>
    <row r="35" spans="1:7" x14ac:dyDescent="0.25">
      <c r="A35" s="26"/>
      <c r="B35" s="3"/>
      <c r="C35" s="44"/>
      <c r="F35" s="26"/>
      <c r="G35" s="47"/>
    </row>
    <row r="36" spans="1:7" x14ac:dyDescent="0.25">
      <c r="A36" s="26"/>
      <c r="B36" s="3"/>
      <c r="C36" s="44"/>
      <c r="F36" s="26"/>
      <c r="G36" s="47"/>
    </row>
    <row r="37" spans="1:7" x14ac:dyDescent="0.25">
      <c r="A37" s="26"/>
      <c r="B37" s="3"/>
      <c r="C37" s="44"/>
      <c r="F37" s="26"/>
      <c r="G37" s="47"/>
    </row>
    <row r="38" spans="1:7" x14ac:dyDescent="0.25">
      <c r="A38" s="26"/>
      <c r="B38" s="3"/>
      <c r="C38" s="44"/>
      <c r="F38" s="26"/>
      <c r="G38" s="47"/>
    </row>
    <row r="39" spans="1:7" x14ac:dyDescent="0.25">
      <c r="A39" s="26"/>
      <c r="B39" s="3"/>
      <c r="C39" s="44"/>
      <c r="F39" s="26"/>
      <c r="G39" s="47"/>
    </row>
    <row r="40" spans="1:7" x14ac:dyDescent="0.25">
      <c r="A40" s="26"/>
      <c r="B40" s="3"/>
      <c r="C40" s="44"/>
      <c r="F40" s="26"/>
      <c r="G40" s="47"/>
    </row>
    <row r="41" spans="1:7" x14ac:dyDescent="0.25">
      <c r="A41" s="26"/>
      <c r="B41" s="3"/>
      <c r="C41" s="44"/>
      <c r="F41" s="26"/>
      <c r="G41" s="47"/>
    </row>
    <row r="42" spans="1:7" x14ac:dyDescent="0.25">
      <c r="A42" s="26"/>
      <c r="B42" s="3"/>
      <c r="C42" s="44"/>
      <c r="F42" s="26"/>
      <c r="G42" s="47"/>
    </row>
    <row r="43" spans="1:7" x14ac:dyDescent="0.25">
      <c r="A43" s="26"/>
      <c r="B43" s="3"/>
      <c r="C43" s="44"/>
      <c r="F43" s="26"/>
      <c r="G43" s="47"/>
    </row>
    <row r="44" spans="1:7" x14ac:dyDescent="0.25">
      <c r="A44" s="26"/>
      <c r="B44" s="3"/>
      <c r="C44" s="44"/>
      <c r="F44" s="26"/>
      <c r="G44" s="47"/>
    </row>
    <row r="45" spans="1:7" x14ac:dyDescent="0.25">
      <c r="A45" s="26"/>
      <c r="B45" s="3"/>
      <c r="C45" s="44"/>
      <c r="F45" s="26"/>
      <c r="G45" s="47"/>
    </row>
    <row r="46" spans="1:7" x14ac:dyDescent="0.25">
      <c r="A46" s="26"/>
      <c r="B46" s="3"/>
      <c r="C46" s="44"/>
      <c r="F46" s="26"/>
      <c r="G46" s="47"/>
    </row>
    <row r="47" spans="1:7" x14ac:dyDescent="0.25">
      <c r="A47" s="26"/>
      <c r="B47" s="3"/>
      <c r="C47" s="44"/>
      <c r="F47" s="26"/>
      <c r="G47" s="47"/>
    </row>
    <row r="48" spans="1:7" x14ac:dyDescent="0.25">
      <c r="A48" s="26"/>
      <c r="B48" s="3"/>
      <c r="C48" s="44"/>
      <c r="F48" s="26"/>
      <c r="G48" s="47"/>
    </row>
    <row r="49" spans="1:7" x14ac:dyDescent="0.25">
      <c r="A49" s="26"/>
      <c r="B49" s="3"/>
      <c r="C49" s="44"/>
      <c r="F49" s="26"/>
      <c r="G49" s="47"/>
    </row>
    <row r="50" spans="1:7" x14ac:dyDescent="0.25">
      <c r="A50" s="26"/>
      <c r="B50" s="3"/>
      <c r="C50" s="44"/>
      <c r="F50" s="26"/>
      <c r="G50" s="47"/>
    </row>
    <row r="51" spans="1:7" x14ac:dyDescent="0.25">
      <c r="A51" s="26"/>
      <c r="B51" s="3"/>
      <c r="C51" s="44"/>
      <c r="F51" s="26"/>
      <c r="G51" s="47"/>
    </row>
    <row r="52" spans="1:7" x14ac:dyDescent="0.25">
      <c r="A52" s="26"/>
      <c r="B52" s="3"/>
      <c r="C52" s="44"/>
      <c r="F52" s="26"/>
      <c r="G52" s="47"/>
    </row>
    <row r="53" spans="1:7" x14ac:dyDescent="0.25">
      <c r="B53" s="3"/>
    </row>
    <row r="54" spans="1:7" x14ac:dyDescent="0.25">
      <c r="A54" s="26"/>
      <c r="B54" s="3"/>
      <c r="C54" s="44"/>
      <c r="D54" s="12"/>
      <c r="F54" s="26"/>
      <c r="G54" s="47"/>
    </row>
    <row r="55" spans="1:7" x14ac:dyDescent="0.25">
      <c r="A55" s="26"/>
      <c r="B55" s="3"/>
      <c r="C55" s="44"/>
      <c r="D55" s="12"/>
      <c r="F55" s="26"/>
      <c r="G55" s="47"/>
    </row>
    <row r="56" spans="1:7" x14ac:dyDescent="0.25">
      <c r="A56" s="26"/>
      <c r="B56" s="3"/>
      <c r="C56" s="44"/>
      <c r="D56" s="12"/>
      <c r="F56" s="26"/>
      <c r="G56" s="47"/>
    </row>
    <row r="57" spans="1:7" x14ac:dyDescent="0.25">
      <c r="A57" s="26"/>
      <c r="B57" s="3"/>
      <c r="C57" s="44"/>
      <c r="D57" s="12"/>
      <c r="F57" s="26"/>
      <c r="G57" s="47"/>
    </row>
    <row r="58" spans="1:7" x14ac:dyDescent="0.25">
      <c r="A58" s="26"/>
      <c r="B58" s="3"/>
      <c r="C58" s="44"/>
      <c r="D58" s="12"/>
      <c r="F58" s="26"/>
      <c r="G58" s="47"/>
    </row>
    <row r="59" spans="1:7" x14ac:dyDescent="0.25">
      <c r="A59" s="26"/>
      <c r="B59" s="3"/>
      <c r="C59" s="44"/>
      <c r="D59" s="12"/>
      <c r="F59" s="26"/>
      <c r="G59" s="47"/>
    </row>
    <row r="60" spans="1:7" x14ac:dyDescent="0.25">
      <c r="A60" s="26"/>
      <c r="B60" s="3"/>
      <c r="C60" s="44"/>
      <c r="D60" s="12"/>
      <c r="F60" s="26"/>
      <c r="G60" s="47"/>
    </row>
    <row r="67" spans="1:7" x14ac:dyDescent="0.25">
      <c r="A67" s="26"/>
      <c r="B67" s="3"/>
      <c r="C67" s="44"/>
      <c r="D67" s="12"/>
      <c r="F67" s="26"/>
      <c r="G67" s="47"/>
    </row>
    <row r="68" spans="1:7" x14ac:dyDescent="0.25">
      <c r="A68" s="26"/>
      <c r="B68" s="3"/>
      <c r="C68" s="44"/>
      <c r="D68" s="12"/>
      <c r="F68" s="26"/>
      <c r="G68" s="47"/>
    </row>
    <row r="69" spans="1:7" x14ac:dyDescent="0.25">
      <c r="A69" s="26"/>
      <c r="B69" s="3"/>
      <c r="C69" s="44"/>
      <c r="D69" s="12"/>
      <c r="F69" s="26"/>
      <c r="G69" s="47"/>
    </row>
    <row r="70" spans="1:7" x14ac:dyDescent="0.25">
      <c r="A70" s="26"/>
      <c r="B70" s="3"/>
      <c r="C70" s="44"/>
      <c r="D70" s="12"/>
      <c r="F70" s="26"/>
      <c r="G70" s="47"/>
    </row>
    <row r="71" spans="1:7" x14ac:dyDescent="0.25">
      <c r="A71" s="26"/>
      <c r="B71" s="3"/>
      <c r="C71" s="44"/>
      <c r="D71" s="12"/>
      <c r="F71" s="26"/>
      <c r="G71" s="47"/>
    </row>
    <row r="72" spans="1:7" x14ac:dyDescent="0.25">
      <c r="A72" s="26"/>
      <c r="B72" s="3"/>
      <c r="C72" s="44"/>
      <c r="D72" s="12"/>
      <c r="F72" s="26"/>
      <c r="G72" s="47"/>
    </row>
    <row r="73" spans="1:7" x14ac:dyDescent="0.25">
      <c r="A73" s="26"/>
      <c r="B73" s="3"/>
      <c r="C73" s="44"/>
      <c r="D73" s="12"/>
      <c r="F73" s="26"/>
      <c r="G73" s="47"/>
    </row>
    <row r="74" spans="1:7" x14ac:dyDescent="0.25">
      <c r="A74" s="26"/>
      <c r="B74" s="3"/>
      <c r="C74" s="44"/>
      <c r="D74" s="12"/>
      <c r="F74" s="26"/>
      <c r="G74" s="47"/>
    </row>
    <row r="75" spans="1:7" x14ac:dyDescent="0.25">
      <c r="A75" s="26"/>
      <c r="B75" s="3"/>
      <c r="C75" s="44"/>
      <c r="D75" s="12"/>
      <c r="F75" s="26"/>
      <c r="G75" s="47"/>
    </row>
    <row r="76" spans="1:7" x14ac:dyDescent="0.25">
      <c r="A76" s="26"/>
      <c r="B76" s="3"/>
      <c r="C76" s="44"/>
      <c r="D76" s="12"/>
      <c r="F76" s="26"/>
      <c r="G76" s="47"/>
    </row>
    <row r="77" spans="1:7" x14ac:dyDescent="0.25">
      <c r="A77" s="26"/>
      <c r="B77" s="3"/>
      <c r="C77" s="44"/>
      <c r="D77" s="12"/>
      <c r="F77" s="26"/>
      <c r="G77" s="47"/>
    </row>
    <row r="78" spans="1:7" x14ac:dyDescent="0.25">
      <c r="A78" s="26"/>
      <c r="B78" s="3"/>
      <c r="C78" s="44"/>
      <c r="D78" s="12"/>
      <c r="F78" s="26"/>
      <c r="G78" s="47"/>
    </row>
    <row r="79" spans="1:7" x14ac:dyDescent="0.25">
      <c r="A79" s="26"/>
      <c r="B79" s="3"/>
      <c r="C79" s="44"/>
      <c r="D79" s="12"/>
      <c r="F79" s="26"/>
      <c r="G79" s="47"/>
    </row>
    <row r="80" spans="1:7" x14ac:dyDescent="0.25">
      <c r="A80" s="26"/>
      <c r="B80" s="3"/>
      <c r="C80" s="44"/>
      <c r="D80" s="12"/>
      <c r="F80" s="26"/>
      <c r="G80" s="47"/>
    </row>
    <row r="81" spans="1:7" x14ac:dyDescent="0.25">
      <c r="A81" s="26"/>
      <c r="B81" s="3"/>
      <c r="C81" s="44"/>
      <c r="D81" s="12"/>
      <c r="F81" s="26"/>
      <c r="G81" s="47"/>
    </row>
    <row r="82" spans="1:7" x14ac:dyDescent="0.25">
      <c r="A82" s="26"/>
      <c r="B82" s="3"/>
      <c r="C82" s="44"/>
      <c r="D82" s="12"/>
      <c r="F82" s="26"/>
      <c r="G82" s="47"/>
    </row>
    <row r="83" spans="1:7" x14ac:dyDescent="0.25">
      <c r="A83" s="26"/>
      <c r="B83" s="3"/>
      <c r="C83" s="44"/>
      <c r="D83" s="12"/>
      <c r="F83" s="26"/>
      <c r="G83" s="47"/>
    </row>
    <row r="84" spans="1:7" x14ac:dyDescent="0.25">
      <c r="A84" s="26"/>
      <c r="B84" s="3"/>
      <c r="C84" s="44"/>
      <c r="D84" s="12"/>
      <c r="F84" s="26"/>
      <c r="G84" s="47"/>
    </row>
    <row r="85" spans="1:7" x14ac:dyDescent="0.25">
      <c r="A85" s="26"/>
      <c r="B85" s="3"/>
      <c r="C85" s="44"/>
      <c r="D85" s="12"/>
      <c r="F85" s="26"/>
      <c r="G85" s="47"/>
    </row>
    <row r="86" spans="1:7" x14ac:dyDescent="0.25">
      <c r="A86" s="26"/>
      <c r="B86" s="3"/>
      <c r="C86" s="44"/>
      <c r="D86" s="12"/>
      <c r="F86" s="26"/>
      <c r="G86" s="47"/>
    </row>
    <row r="87" spans="1:7" x14ac:dyDescent="0.25">
      <c r="A87" s="26"/>
      <c r="B87" s="3"/>
      <c r="C87" s="44"/>
      <c r="D87" s="12"/>
      <c r="F87" s="26"/>
      <c r="G87" s="47"/>
    </row>
    <row r="88" spans="1:7" x14ac:dyDescent="0.25">
      <c r="A88" s="26"/>
      <c r="B88" s="3"/>
      <c r="C88" s="44"/>
      <c r="D88" s="12"/>
      <c r="F88" s="26"/>
      <c r="G88" s="47"/>
    </row>
    <row r="89" spans="1:7" x14ac:dyDescent="0.25">
      <c r="A89" s="26"/>
      <c r="B89" s="3"/>
      <c r="C89" s="44"/>
      <c r="D89" s="12"/>
      <c r="F89" s="26"/>
      <c r="G89" s="47"/>
    </row>
    <row r="90" spans="1:7" x14ac:dyDescent="0.25">
      <c r="A90" s="26"/>
      <c r="B90" s="3"/>
      <c r="C90" s="44"/>
      <c r="D90" s="12"/>
      <c r="F90" s="26"/>
      <c r="G90" s="47"/>
    </row>
    <row r="91" spans="1:7" x14ac:dyDescent="0.25">
      <c r="A91" s="26"/>
      <c r="B91" s="3"/>
      <c r="C91" s="44"/>
      <c r="D91" s="12"/>
      <c r="F91" s="26"/>
      <c r="G91" s="47"/>
    </row>
    <row r="92" spans="1:7" x14ac:dyDescent="0.25">
      <c r="A92" s="26"/>
      <c r="B92" s="3"/>
      <c r="C92" s="44"/>
      <c r="D92" s="12"/>
      <c r="F92" s="26"/>
      <c r="G92" s="47"/>
    </row>
    <row r="93" spans="1:7" x14ac:dyDescent="0.25">
      <c r="A93" s="26"/>
      <c r="B93" s="3"/>
      <c r="C93" s="44"/>
      <c r="D93" s="12"/>
      <c r="F93" s="26"/>
      <c r="G93" s="47"/>
    </row>
    <row r="94" spans="1:7" x14ac:dyDescent="0.25">
      <c r="A94" s="26"/>
      <c r="B94" s="3"/>
      <c r="C94" s="44"/>
      <c r="D94" s="12"/>
      <c r="F94" s="26"/>
      <c r="G94" s="47"/>
    </row>
    <row r="95" spans="1:7" x14ac:dyDescent="0.25">
      <c r="A95" s="26"/>
      <c r="B95" s="3"/>
      <c r="C95" s="44"/>
      <c r="D95" s="12"/>
      <c r="F95" s="26"/>
      <c r="G95" s="47"/>
    </row>
    <row r="96" spans="1:7" x14ac:dyDescent="0.25">
      <c r="A96" s="26"/>
      <c r="B96" s="3"/>
      <c r="C96" s="44"/>
      <c r="D96" s="12"/>
      <c r="F96" s="26"/>
      <c r="G96" s="47"/>
    </row>
    <row r="97" spans="1:7" x14ac:dyDescent="0.25">
      <c r="A97" s="26"/>
      <c r="B97" s="3"/>
      <c r="C97" s="44"/>
      <c r="D97" s="12"/>
      <c r="F97" s="26"/>
      <c r="G97" s="47"/>
    </row>
    <row r="98" spans="1:7" x14ac:dyDescent="0.25">
      <c r="A98" s="26"/>
      <c r="B98" s="3"/>
      <c r="C98" s="44"/>
      <c r="D98" s="12"/>
      <c r="F98" s="26"/>
      <c r="G98" s="47"/>
    </row>
    <row r="99" spans="1:7" x14ac:dyDescent="0.25">
      <c r="A99" s="26"/>
      <c r="B99" s="3"/>
      <c r="C99" s="44"/>
      <c r="D99" s="12"/>
      <c r="F99" s="26"/>
      <c r="G99" s="47"/>
    </row>
    <row r="100" spans="1:7" x14ac:dyDescent="0.25">
      <c r="A100" s="26"/>
      <c r="B100" s="3"/>
      <c r="C100" s="44"/>
      <c r="D100" s="12"/>
      <c r="F100" s="26"/>
      <c r="G100" s="47"/>
    </row>
    <row r="101" spans="1:7" x14ac:dyDescent="0.25">
      <c r="A101" s="26"/>
      <c r="B101" s="3"/>
      <c r="C101" s="44"/>
      <c r="D101" s="12"/>
      <c r="F101" s="26"/>
      <c r="G101" s="47"/>
    </row>
    <row r="102" spans="1:7" x14ac:dyDescent="0.25">
      <c r="A102" s="26"/>
      <c r="B102" s="3"/>
      <c r="C102" s="44"/>
      <c r="D102" s="12"/>
      <c r="F102" s="26"/>
      <c r="G102" s="47"/>
    </row>
    <row r="103" spans="1:7" x14ac:dyDescent="0.25">
      <c r="A103" s="26"/>
      <c r="B103" s="3"/>
      <c r="C103" s="44"/>
      <c r="D103" s="12"/>
      <c r="F103" s="26"/>
      <c r="G103" s="47"/>
    </row>
    <row r="104" spans="1:7" x14ac:dyDescent="0.25">
      <c r="A104" s="26"/>
      <c r="B104" s="3"/>
      <c r="C104" s="44"/>
      <c r="D104" s="12"/>
      <c r="F104" s="26"/>
      <c r="G104" s="47"/>
    </row>
    <row r="105" spans="1:7" x14ac:dyDescent="0.25">
      <c r="A105" s="26"/>
      <c r="B105" s="3"/>
      <c r="C105" s="44"/>
      <c r="D105" s="12"/>
      <c r="F105" s="26"/>
      <c r="G105" s="47"/>
    </row>
    <row r="106" spans="1:7" x14ac:dyDescent="0.25">
      <c r="A106" s="26"/>
      <c r="B106" s="3"/>
      <c r="C106" s="44"/>
      <c r="D106" s="12"/>
      <c r="F106" s="26"/>
      <c r="G106" s="47"/>
    </row>
    <row r="107" spans="1:7" x14ac:dyDescent="0.25">
      <c r="A107" s="26"/>
      <c r="B107" s="3"/>
      <c r="C107" s="44"/>
      <c r="D107" s="12"/>
      <c r="F107" s="26"/>
      <c r="G107" s="47"/>
    </row>
    <row r="108" spans="1:7" x14ac:dyDescent="0.25">
      <c r="A108" s="26"/>
      <c r="B108" s="3"/>
      <c r="C108" s="44"/>
      <c r="D108" s="12"/>
      <c r="F108" s="26"/>
      <c r="G108" s="47"/>
    </row>
    <row r="109" spans="1:7" x14ac:dyDescent="0.25">
      <c r="A109" s="26"/>
      <c r="B109" s="3"/>
      <c r="C109" s="44"/>
      <c r="D109" s="12"/>
      <c r="F109" s="26"/>
      <c r="G109" s="47"/>
    </row>
    <row r="110" spans="1:7" x14ac:dyDescent="0.25">
      <c r="A110" s="26"/>
      <c r="B110" s="3"/>
      <c r="C110" s="44"/>
      <c r="D110" s="12"/>
      <c r="F110" s="26"/>
      <c r="G110" s="47"/>
    </row>
    <row r="111" spans="1:7" x14ac:dyDescent="0.25">
      <c r="A111" s="26"/>
      <c r="B111" s="3"/>
      <c r="C111" s="44"/>
      <c r="D111" s="12"/>
      <c r="F111" s="26"/>
      <c r="G111" s="47"/>
    </row>
    <row r="112" spans="1:7" x14ac:dyDescent="0.25">
      <c r="A112" s="26"/>
      <c r="B112" s="3"/>
      <c r="C112" s="44"/>
      <c r="D112" s="12"/>
      <c r="F112" s="26"/>
      <c r="G112" s="47"/>
    </row>
    <row r="113" spans="1:7" x14ac:dyDescent="0.25">
      <c r="A113" s="26"/>
      <c r="B113" s="3"/>
      <c r="C113" s="44"/>
      <c r="D113" s="12"/>
      <c r="F113" s="26"/>
      <c r="G113" s="47"/>
    </row>
    <row r="114" spans="1:7" x14ac:dyDescent="0.25">
      <c r="A114" s="26"/>
      <c r="B114" s="3"/>
      <c r="C114" s="44"/>
      <c r="D114" s="12"/>
      <c r="F114" s="26"/>
      <c r="G114" s="47"/>
    </row>
    <row r="115" spans="1:7" x14ac:dyDescent="0.25">
      <c r="A115" s="26"/>
      <c r="B115" s="3"/>
      <c r="C115" s="44"/>
      <c r="D115" s="12"/>
      <c r="F115" s="26"/>
      <c r="G115" s="47"/>
    </row>
    <row r="116" spans="1:7" x14ac:dyDescent="0.25">
      <c r="A116" s="26"/>
      <c r="B116" s="3"/>
      <c r="C116" s="44"/>
      <c r="D116" s="12"/>
      <c r="F116" s="26"/>
      <c r="G116" s="47"/>
    </row>
    <row r="117" spans="1:7" x14ac:dyDescent="0.25">
      <c r="A117" s="26"/>
      <c r="B117" s="3"/>
      <c r="C117" s="44"/>
      <c r="D117" s="12"/>
      <c r="F117" s="26"/>
      <c r="G117" s="4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7"/>
  <sheetViews>
    <sheetView workbookViewId="0">
      <pane ySplit="1" topLeftCell="A2" activePane="bottomLeft" state="frozen"/>
      <selection sqref="A1:M1048576"/>
      <selection pane="bottomLeft"/>
    </sheetView>
  </sheetViews>
  <sheetFormatPr defaultRowHeight="15" x14ac:dyDescent="0.25"/>
  <cols>
    <col min="1" max="1" width="18.85546875" style="28" customWidth="1"/>
    <col min="2" max="2" width="43.5703125" style="29" customWidth="1"/>
    <col min="3" max="3" width="46.85546875" style="16" customWidth="1"/>
    <col min="4" max="4" width="17.85546875" style="14" customWidth="1"/>
    <col min="5" max="5" width="16.5703125" style="27" customWidth="1"/>
    <col min="6" max="6" width="34.7109375" style="12" customWidth="1"/>
    <col min="7" max="7" width="63" style="12" customWidth="1"/>
    <col min="8" max="16384" width="9.140625" style="12"/>
  </cols>
  <sheetData>
    <row r="1" spans="1:8" s="13" customFormat="1" x14ac:dyDescent="0.25">
      <c r="A1" s="23" t="s">
        <v>67</v>
      </c>
      <c r="B1" s="13" t="s">
        <v>68</v>
      </c>
      <c r="C1" s="17" t="s">
        <v>69</v>
      </c>
      <c r="D1" s="17" t="s">
        <v>70</v>
      </c>
      <c r="E1" s="13" t="s">
        <v>71</v>
      </c>
      <c r="F1" s="13" t="s">
        <v>72</v>
      </c>
      <c r="G1" s="13" t="s">
        <v>73</v>
      </c>
    </row>
    <row r="2" spans="1:8" x14ac:dyDescent="0.25">
      <c r="A2" s="24">
        <v>42419</v>
      </c>
      <c r="B2" s="25" t="s">
        <v>340</v>
      </c>
      <c r="C2" s="12" t="s">
        <v>61</v>
      </c>
      <c r="D2" s="14">
        <v>200</v>
      </c>
      <c r="E2" s="3"/>
      <c r="F2" s="12" t="s">
        <v>85</v>
      </c>
      <c r="G2" s="12" t="s">
        <v>361</v>
      </c>
    </row>
    <row r="3" spans="1:8" x14ac:dyDescent="0.25">
      <c r="A3" s="24">
        <v>42369</v>
      </c>
      <c r="B3" s="25" t="s">
        <v>115</v>
      </c>
      <c r="C3" s="12" t="s">
        <v>120</v>
      </c>
      <c r="D3" s="14">
        <v>60</v>
      </c>
      <c r="E3" s="3"/>
      <c r="F3" s="12" t="s">
        <v>82</v>
      </c>
      <c r="G3" s="12" t="s">
        <v>121</v>
      </c>
      <c r="H3" s="14"/>
    </row>
    <row r="4" spans="1:8" x14ac:dyDescent="0.25">
      <c r="A4" s="24">
        <v>42345</v>
      </c>
      <c r="B4" s="25" t="s">
        <v>116</v>
      </c>
      <c r="C4" s="12" t="s">
        <v>122</v>
      </c>
      <c r="D4" s="14">
        <v>386</v>
      </c>
      <c r="E4" s="3"/>
      <c r="F4" s="12" t="s">
        <v>90</v>
      </c>
      <c r="G4" s="12" t="s">
        <v>352</v>
      </c>
      <c r="H4" s="14"/>
    </row>
    <row r="5" spans="1:8" x14ac:dyDescent="0.25">
      <c r="A5" s="24">
        <v>42370</v>
      </c>
      <c r="B5" s="25" t="s">
        <v>117</v>
      </c>
      <c r="C5" s="12" t="s">
        <v>123</v>
      </c>
      <c r="D5" s="14">
        <v>1400</v>
      </c>
      <c r="E5" s="3"/>
      <c r="F5" s="12" t="s">
        <v>94</v>
      </c>
      <c r="G5" s="12" t="s">
        <v>360</v>
      </c>
      <c r="H5" s="14"/>
    </row>
    <row r="6" spans="1:8" x14ac:dyDescent="0.25">
      <c r="A6" s="24">
        <v>42375</v>
      </c>
      <c r="B6" s="25" t="s">
        <v>118</v>
      </c>
      <c r="C6" s="12" t="s">
        <v>124</v>
      </c>
      <c r="D6" s="14">
        <v>200</v>
      </c>
      <c r="E6" s="3"/>
      <c r="F6" s="12" t="s">
        <v>108</v>
      </c>
      <c r="G6" s="12" t="s">
        <v>359</v>
      </c>
      <c r="H6" s="14"/>
    </row>
    <row r="7" spans="1:8" x14ac:dyDescent="0.25">
      <c r="A7" s="24">
        <v>42094</v>
      </c>
      <c r="B7" s="25" t="s">
        <v>119</v>
      </c>
      <c r="C7" s="12" t="s">
        <v>125</v>
      </c>
      <c r="D7" s="14">
        <v>25</v>
      </c>
      <c r="E7" s="3" t="s">
        <v>126</v>
      </c>
      <c r="F7" s="12" t="s">
        <v>95</v>
      </c>
      <c r="G7" s="12" t="s">
        <v>347</v>
      </c>
      <c r="H7" s="14"/>
    </row>
    <row r="8" spans="1:8" x14ac:dyDescent="0.25">
      <c r="A8" s="26">
        <v>42369</v>
      </c>
      <c r="B8" s="44" t="s">
        <v>119</v>
      </c>
      <c r="C8" s="16" t="s">
        <v>125</v>
      </c>
      <c r="D8" s="14">
        <v>50</v>
      </c>
      <c r="F8" s="12" t="s">
        <v>95</v>
      </c>
      <c r="G8" s="12" t="s">
        <v>127</v>
      </c>
      <c r="H8" s="14"/>
    </row>
    <row r="9" spans="1:8" x14ac:dyDescent="0.25">
      <c r="A9" s="26"/>
      <c r="B9" s="44"/>
    </row>
    <row r="10" spans="1:8" x14ac:dyDescent="0.25">
      <c r="A10" s="26"/>
      <c r="B10" s="44"/>
      <c r="H10" s="14"/>
    </row>
    <row r="11" spans="1:8" x14ac:dyDescent="0.25">
      <c r="A11" s="26"/>
      <c r="B11" s="44"/>
      <c r="E11" s="3"/>
    </row>
    <row r="12" spans="1:8" x14ac:dyDescent="0.25">
      <c r="A12" s="26"/>
      <c r="B12" s="44"/>
      <c r="E12" s="3"/>
    </row>
    <row r="13" spans="1:8" x14ac:dyDescent="0.25">
      <c r="A13" s="26"/>
      <c r="B13" s="44"/>
      <c r="E13" s="3"/>
    </row>
    <row r="14" spans="1:8" x14ac:dyDescent="0.25">
      <c r="A14" s="26"/>
      <c r="B14" s="44"/>
      <c r="E14" s="3"/>
    </row>
    <row r="15" spans="1:8" x14ac:dyDescent="0.25">
      <c r="A15" s="26"/>
      <c r="B15" s="44"/>
      <c r="E15" s="3"/>
    </row>
    <row r="16" spans="1:8" x14ac:dyDescent="0.25">
      <c r="A16" s="26"/>
      <c r="B16" s="44"/>
      <c r="E16" s="3"/>
    </row>
    <row r="17" spans="1:5" x14ac:dyDescent="0.25">
      <c r="A17" s="26"/>
      <c r="B17" s="44"/>
      <c r="E17" s="3"/>
    </row>
    <row r="18" spans="1:5" x14ac:dyDescent="0.25">
      <c r="A18" s="26"/>
      <c r="B18" s="44"/>
      <c r="E18" s="3"/>
    </row>
    <row r="19" spans="1:5" x14ac:dyDescent="0.25">
      <c r="A19" s="26"/>
      <c r="B19" s="44"/>
      <c r="E19" s="3"/>
    </row>
    <row r="20" spans="1:5" x14ac:dyDescent="0.25">
      <c r="A20" s="26"/>
      <c r="B20" s="44"/>
      <c r="E20" s="3"/>
    </row>
    <row r="21" spans="1:5" x14ac:dyDescent="0.25">
      <c r="A21" s="26"/>
      <c r="B21" s="44"/>
      <c r="E21" s="3"/>
    </row>
    <row r="22" spans="1:5" x14ac:dyDescent="0.25">
      <c r="A22" s="26"/>
      <c r="B22" s="44"/>
      <c r="E22" s="3"/>
    </row>
    <row r="23" spans="1:5" x14ac:dyDescent="0.25">
      <c r="A23" s="26"/>
      <c r="B23" s="44"/>
      <c r="E23" s="3"/>
    </row>
    <row r="24" spans="1:5" x14ac:dyDescent="0.25">
      <c r="A24" s="26"/>
      <c r="B24" s="44"/>
      <c r="E24" s="3"/>
    </row>
    <row r="25" spans="1:5" x14ac:dyDescent="0.25">
      <c r="A25" s="26"/>
      <c r="B25" s="44"/>
      <c r="E25" s="3"/>
    </row>
    <row r="26" spans="1:5" x14ac:dyDescent="0.25">
      <c r="A26" s="26"/>
      <c r="B26" s="44"/>
      <c r="E26" s="3"/>
    </row>
    <row r="27" spans="1:5" x14ac:dyDescent="0.25">
      <c r="A27" s="26"/>
      <c r="B27" s="44"/>
      <c r="E27" s="3"/>
    </row>
    <row r="28" spans="1:5" x14ac:dyDescent="0.25">
      <c r="A28" s="26"/>
      <c r="B28" s="44"/>
      <c r="E28" s="3"/>
    </row>
    <row r="29" spans="1:5" x14ac:dyDescent="0.25">
      <c r="A29" s="26"/>
      <c r="B29" s="44"/>
      <c r="E29" s="3"/>
    </row>
    <row r="30" spans="1:5" x14ac:dyDescent="0.25">
      <c r="A30" s="26"/>
      <c r="B30" s="44"/>
      <c r="E30" s="3"/>
    </row>
    <row r="31" spans="1:5" x14ac:dyDescent="0.25">
      <c r="A31" s="26"/>
      <c r="B31" s="44"/>
      <c r="E31" s="3"/>
    </row>
    <row r="32" spans="1:5" x14ac:dyDescent="0.25">
      <c r="A32" s="26"/>
      <c r="B32" s="44"/>
      <c r="E32" s="3"/>
    </row>
    <row r="33" spans="1:5" x14ac:dyDescent="0.25">
      <c r="A33" s="26"/>
      <c r="B33" s="44"/>
      <c r="E33" s="3"/>
    </row>
    <row r="34" spans="1:5" x14ac:dyDescent="0.25">
      <c r="A34" s="26"/>
      <c r="B34" s="44"/>
      <c r="E34" s="3"/>
    </row>
    <row r="35" spans="1:5" x14ac:dyDescent="0.25">
      <c r="A35" s="26"/>
      <c r="B35" s="44"/>
      <c r="E35" s="3"/>
    </row>
    <row r="36" spans="1:5" x14ac:dyDescent="0.25">
      <c r="A36" s="26"/>
      <c r="B36" s="44"/>
      <c r="E36" s="3"/>
    </row>
    <row r="37" spans="1:5" x14ac:dyDescent="0.25">
      <c r="A37" s="26"/>
      <c r="B37" s="44"/>
      <c r="E37" s="3"/>
    </row>
    <row r="38" spans="1:5" x14ac:dyDescent="0.25">
      <c r="A38" s="26"/>
      <c r="B38" s="44"/>
      <c r="E38" s="3"/>
    </row>
    <row r="39" spans="1:5" x14ac:dyDescent="0.25">
      <c r="A39" s="26"/>
      <c r="B39" s="44"/>
      <c r="E39" s="3"/>
    </row>
    <row r="40" spans="1:5" x14ac:dyDescent="0.25">
      <c r="A40" s="26"/>
      <c r="B40" s="44"/>
      <c r="E40" s="3"/>
    </row>
    <row r="41" spans="1:5" x14ac:dyDescent="0.25">
      <c r="A41" s="26"/>
      <c r="B41" s="44"/>
      <c r="E41" s="3"/>
    </row>
    <row r="42" spans="1:5" x14ac:dyDescent="0.25">
      <c r="A42" s="26"/>
      <c r="B42" s="44"/>
      <c r="E42" s="3"/>
    </row>
    <row r="43" spans="1:5" x14ac:dyDescent="0.25">
      <c r="A43" s="26"/>
      <c r="B43" s="44"/>
      <c r="E43" s="3"/>
    </row>
    <row r="44" spans="1:5" x14ac:dyDescent="0.25">
      <c r="A44" s="26"/>
      <c r="B44" s="44"/>
      <c r="E44" s="3"/>
    </row>
    <row r="45" spans="1:5" x14ac:dyDescent="0.25">
      <c r="A45" s="26"/>
      <c r="B45" s="44"/>
      <c r="E45" s="3"/>
    </row>
    <row r="46" spans="1:5" x14ac:dyDescent="0.25">
      <c r="A46" s="26"/>
      <c r="B46" s="44"/>
      <c r="E46" s="3"/>
    </row>
    <row r="47" spans="1:5" x14ac:dyDescent="0.25">
      <c r="E47" s="3"/>
    </row>
    <row r="48" spans="1:5" x14ac:dyDescent="0.25">
      <c r="A48" s="26"/>
      <c r="B48" s="44"/>
      <c r="C48" s="12"/>
      <c r="E48" s="3"/>
    </row>
    <row r="49" spans="1:5" x14ac:dyDescent="0.25">
      <c r="A49" s="26"/>
      <c r="B49" s="44"/>
      <c r="C49" s="12"/>
      <c r="E49" s="3"/>
    </row>
    <row r="50" spans="1:5" x14ac:dyDescent="0.25">
      <c r="A50" s="26"/>
      <c r="B50" s="44"/>
      <c r="C50" s="12"/>
      <c r="E50" s="3"/>
    </row>
    <row r="51" spans="1:5" x14ac:dyDescent="0.25">
      <c r="A51" s="26"/>
      <c r="B51" s="44"/>
      <c r="C51" s="12"/>
      <c r="E51" s="3"/>
    </row>
    <row r="52" spans="1:5" x14ac:dyDescent="0.25">
      <c r="A52" s="26"/>
      <c r="B52" s="44"/>
      <c r="C52" s="12"/>
      <c r="E52" s="3"/>
    </row>
    <row r="53" spans="1:5" x14ac:dyDescent="0.25">
      <c r="A53" s="26"/>
      <c r="B53" s="44"/>
      <c r="C53" s="12"/>
      <c r="E53" s="3"/>
    </row>
    <row r="54" spans="1:5" x14ac:dyDescent="0.25">
      <c r="A54" s="26"/>
      <c r="B54" s="44"/>
      <c r="C54" s="12"/>
      <c r="E54" s="3"/>
    </row>
    <row r="61" spans="1:5" x14ac:dyDescent="0.25">
      <c r="A61" s="26"/>
      <c r="B61" s="44"/>
      <c r="C61" s="12"/>
      <c r="E61" s="3"/>
    </row>
    <row r="62" spans="1:5" x14ac:dyDescent="0.25">
      <c r="A62" s="26"/>
      <c r="B62" s="44"/>
      <c r="C62" s="12"/>
      <c r="E62" s="3"/>
    </row>
    <row r="63" spans="1:5" x14ac:dyDescent="0.25">
      <c r="A63" s="26"/>
      <c r="B63" s="44"/>
      <c r="C63" s="12"/>
      <c r="E63" s="3"/>
    </row>
    <row r="64" spans="1:5" x14ac:dyDescent="0.25">
      <c r="A64" s="26"/>
      <c r="B64" s="44"/>
      <c r="C64" s="12"/>
      <c r="E64" s="3"/>
    </row>
    <row r="65" spans="1:5" x14ac:dyDescent="0.25">
      <c r="A65" s="26"/>
      <c r="B65" s="44"/>
      <c r="C65" s="12"/>
      <c r="E65" s="3"/>
    </row>
    <row r="66" spans="1:5" x14ac:dyDescent="0.25">
      <c r="A66" s="26"/>
      <c r="B66" s="44"/>
      <c r="C66" s="12"/>
      <c r="E66" s="3"/>
    </row>
    <row r="67" spans="1:5" x14ac:dyDescent="0.25">
      <c r="A67" s="26"/>
      <c r="B67" s="44"/>
      <c r="C67" s="12"/>
      <c r="E67" s="3"/>
    </row>
    <row r="68" spans="1:5" x14ac:dyDescent="0.25">
      <c r="A68" s="26"/>
      <c r="B68" s="44"/>
      <c r="C68" s="12"/>
      <c r="E68" s="3"/>
    </row>
    <row r="69" spans="1:5" x14ac:dyDescent="0.25">
      <c r="A69" s="26"/>
      <c r="B69" s="44"/>
      <c r="C69" s="12"/>
      <c r="E69" s="3"/>
    </row>
    <row r="70" spans="1:5" x14ac:dyDescent="0.25">
      <c r="A70" s="26"/>
      <c r="B70" s="44"/>
      <c r="C70" s="12"/>
      <c r="E70" s="3"/>
    </row>
    <row r="71" spans="1:5" x14ac:dyDescent="0.25">
      <c r="A71" s="26"/>
      <c r="B71" s="44"/>
      <c r="C71" s="12"/>
      <c r="E71" s="3"/>
    </row>
    <row r="72" spans="1:5" x14ac:dyDescent="0.25">
      <c r="A72" s="26"/>
      <c r="B72" s="44"/>
      <c r="C72" s="12"/>
      <c r="E72" s="3"/>
    </row>
    <row r="73" spans="1:5" x14ac:dyDescent="0.25">
      <c r="A73" s="26"/>
      <c r="B73" s="44"/>
      <c r="C73" s="12"/>
      <c r="E73" s="3"/>
    </row>
    <row r="74" spans="1:5" x14ac:dyDescent="0.25">
      <c r="A74" s="26"/>
      <c r="B74" s="44"/>
      <c r="C74" s="12"/>
      <c r="E74" s="3"/>
    </row>
    <row r="75" spans="1:5" x14ac:dyDescent="0.25">
      <c r="A75" s="26"/>
      <c r="B75" s="44"/>
      <c r="C75" s="12"/>
      <c r="E75" s="3"/>
    </row>
    <row r="76" spans="1:5" x14ac:dyDescent="0.25">
      <c r="A76" s="26"/>
      <c r="B76" s="44"/>
      <c r="C76" s="12"/>
      <c r="E76" s="3"/>
    </row>
    <row r="77" spans="1:5" x14ac:dyDescent="0.25">
      <c r="A77" s="26"/>
      <c r="B77" s="44"/>
      <c r="C77" s="12"/>
      <c r="E77" s="3"/>
    </row>
    <row r="78" spans="1:5" x14ac:dyDescent="0.25">
      <c r="A78" s="26"/>
      <c r="B78" s="44"/>
      <c r="C78" s="12"/>
      <c r="E78" s="3"/>
    </row>
    <row r="79" spans="1:5" x14ac:dyDescent="0.25">
      <c r="A79" s="26"/>
      <c r="B79" s="44"/>
      <c r="C79" s="12"/>
      <c r="E79" s="3"/>
    </row>
    <row r="80" spans="1:5" x14ac:dyDescent="0.25">
      <c r="A80" s="26"/>
      <c r="B80" s="44"/>
      <c r="C80" s="12"/>
      <c r="E80" s="3"/>
    </row>
    <row r="81" spans="1:5" x14ac:dyDescent="0.25">
      <c r="A81" s="26"/>
      <c r="B81" s="44"/>
      <c r="C81" s="12"/>
      <c r="E81" s="3"/>
    </row>
    <row r="82" spans="1:5" x14ac:dyDescent="0.25">
      <c r="A82" s="26"/>
      <c r="B82" s="44"/>
      <c r="C82" s="12"/>
      <c r="E82" s="3"/>
    </row>
    <row r="83" spans="1:5" x14ac:dyDescent="0.25">
      <c r="A83" s="26"/>
      <c r="B83" s="44"/>
      <c r="C83" s="12"/>
      <c r="E83" s="3"/>
    </row>
    <row r="84" spans="1:5" x14ac:dyDescent="0.25">
      <c r="A84" s="26"/>
      <c r="B84" s="44"/>
      <c r="C84" s="12"/>
      <c r="E84" s="3"/>
    </row>
    <row r="85" spans="1:5" x14ac:dyDescent="0.25">
      <c r="A85" s="26"/>
      <c r="B85" s="44"/>
      <c r="C85" s="12"/>
      <c r="E85" s="3"/>
    </row>
    <row r="86" spans="1:5" x14ac:dyDescent="0.25">
      <c r="A86" s="26"/>
      <c r="B86" s="44"/>
      <c r="C86" s="12"/>
      <c r="E86" s="3"/>
    </row>
    <row r="87" spans="1:5" x14ac:dyDescent="0.25">
      <c r="A87" s="26"/>
      <c r="B87" s="44"/>
      <c r="C87" s="12"/>
      <c r="E87" s="3"/>
    </row>
    <row r="88" spans="1:5" x14ac:dyDescent="0.25">
      <c r="A88" s="26"/>
      <c r="B88" s="44"/>
      <c r="C88" s="12"/>
      <c r="E88" s="3"/>
    </row>
    <row r="89" spans="1:5" x14ac:dyDescent="0.25">
      <c r="A89" s="26"/>
      <c r="B89" s="44"/>
      <c r="C89" s="12"/>
      <c r="E89" s="3"/>
    </row>
    <row r="90" spans="1:5" x14ac:dyDescent="0.25">
      <c r="A90" s="26"/>
      <c r="B90" s="44"/>
      <c r="C90" s="12"/>
      <c r="E90" s="3"/>
    </row>
    <row r="91" spans="1:5" x14ac:dyDescent="0.25">
      <c r="A91" s="26"/>
      <c r="B91" s="44"/>
      <c r="C91" s="12"/>
      <c r="E91" s="3"/>
    </row>
    <row r="92" spans="1:5" x14ac:dyDescent="0.25">
      <c r="A92" s="26"/>
      <c r="B92" s="44"/>
      <c r="C92" s="12"/>
      <c r="E92" s="3"/>
    </row>
    <row r="93" spans="1:5" x14ac:dyDescent="0.25">
      <c r="A93" s="26"/>
      <c r="B93" s="44"/>
      <c r="C93" s="12"/>
      <c r="E93" s="3"/>
    </row>
    <row r="94" spans="1:5" x14ac:dyDescent="0.25">
      <c r="A94" s="26"/>
      <c r="B94" s="44"/>
      <c r="C94" s="12"/>
      <c r="E94" s="3"/>
    </row>
    <row r="95" spans="1:5" x14ac:dyDescent="0.25">
      <c r="A95" s="26"/>
      <c r="B95" s="44"/>
      <c r="C95" s="12"/>
      <c r="E95" s="3"/>
    </row>
    <row r="96" spans="1:5" x14ac:dyDescent="0.25">
      <c r="A96" s="26"/>
      <c r="B96" s="44"/>
      <c r="C96" s="12"/>
      <c r="E96" s="3"/>
    </row>
    <row r="97" spans="1:5" x14ac:dyDescent="0.25">
      <c r="A97" s="26"/>
      <c r="B97" s="44"/>
      <c r="C97" s="12"/>
      <c r="E97" s="3"/>
    </row>
    <row r="98" spans="1:5" x14ac:dyDescent="0.25">
      <c r="A98" s="26"/>
      <c r="B98" s="44"/>
      <c r="C98" s="12"/>
      <c r="E98" s="3"/>
    </row>
    <row r="99" spans="1:5" x14ac:dyDescent="0.25">
      <c r="A99" s="26"/>
      <c r="B99" s="44"/>
      <c r="C99" s="12"/>
      <c r="E99" s="3"/>
    </row>
    <row r="100" spans="1:5" x14ac:dyDescent="0.25">
      <c r="A100" s="26"/>
      <c r="B100" s="44"/>
      <c r="C100" s="12"/>
      <c r="E100" s="3"/>
    </row>
    <row r="101" spans="1:5" x14ac:dyDescent="0.25">
      <c r="A101" s="26"/>
      <c r="B101" s="44"/>
      <c r="C101" s="12"/>
      <c r="E101" s="3"/>
    </row>
    <row r="102" spans="1:5" x14ac:dyDescent="0.25">
      <c r="A102" s="26"/>
      <c r="B102" s="44"/>
      <c r="C102" s="12"/>
      <c r="E102" s="3"/>
    </row>
    <row r="103" spans="1:5" x14ac:dyDescent="0.25">
      <c r="A103" s="26"/>
      <c r="B103" s="44"/>
      <c r="C103" s="12"/>
      <c r="E103" s="3"/>
    </row>
    <row r="104" spans="1:5" x14ac:dyDescent="0.25">
      <c r="A104" s="26"/>
      <c r="B104" s="44"/>
      <c r="C104" s="12"/>
      <c r="E104" s="3"/>
    </row>
    <row r="105" spans="1:5" x14ac:dyDescent="0.25">
      <c r="A105" s="26"/>
      <c r="B105" s="44"/>
      <c r="C105" s="12"/>
      <c r="E105" s="3"/>
    </row>
    <row r="106" spans="1:5" x14ac:dyDescent="0.25">
      <c r="A106" s="26"/>
      <c r="B106" s="44"/>
      <c r="C106" s="12"/>
      <c r="E106" s="3"/>
    </row>
    <row r="107" spans="1:5" x14ac:dyDescent="0.25">
      <c r="A107" s="26"/>
      <c r="B107" s="44"/>
      <c r="C107" s="12"/>
      <c r="E107" s="3"/>
    </row>
    <row r="108" spans="1:5" x14ac:dyDescent="0.25">
      <c r="A108" s="26"/>
      <c r="B108" s="44"/>
      <c r="C108" s="12"/>
      <c r="E108" s="3"/>
    </row>
    <row r="109" spans="1:5" x14ac:dyDescent="0.25">
      <c r="A109" s="26"/>
      <c r="B109" s="44"/>
      <c r="C109" s="12"/>
      <c r="E109" s="3"/>
    </row>
    <row r="110" spans="1:5" x14ac:dyDescent="0.25">
      <c r="A110" s="26"/>
      <c r="B110" s="44"/>
      <c r="C110" s="12"/>
      <c r="E110" s="3"/>
    </row>
    <row r="111" spans="1:5" x14ac:dyDescent="0.25">
      <c r="A111" s="26"/>
      <c r="B111" s="44"/>
      <c r="C111" s="12"/>
      <c r="E111" s="3"/>
    </row>
    <row r="113" spans="1:5" x14ac:dyDescent="0.25">
      <c r="A113" s="12"/>
      <c r="B113" s="12"/>
      <c r="C113" s="12"/>
      <c r="D113" s="12"/>
      <c r="E113" s="12"/>
    </row>
    <row r="129" spans="1:5" x14ac:dyDescent="0.25">
      <c r="A129" s="12"/>
      <c r="B129" s="12"/>
      <c r="C129" s="12"/>
      <c r="D129" s="12"/>
      <c r="E129" s="12"/>
    </row>
    <row r="145" spans="1:5" x14ac:dyDescent="0.25">
      <c r="A145" s="12"/>
      <c r="B145" s="12"/>
      <c r="C145" s="12"/>
      <c r="D145" s="12"/>
      <c r="E145" s="12"/>
    </row>
    <row r="161" spans="1:5" x14ac:dyDescent="0.25">
      <c r="A161" s="12"/>
      <c r="B161" s="12"/>
      <c r="C161" s="12"/>
      <c r="D161" s="12"/>
      <c r="E161" s="12"/>
    </row>
    <row r="177" spans="1:5" x14ac:dyDescent="0.25">
      <c r="A177" s="12"/>
      <c r="B177" s="12"/>
      <c r="C177" s="12"/>
      <c r="D177" s="12"/>
      <c r="E177" s="1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"/>
  <sheetViews>
    <sheetView workbookViewId="0">
      <selection sqref="A1:A1048576"/>
    </sheetView>
  </sheetViews>
  <sheetFormatPr defaultRowHeight="15" x14ac:dyDescent="0.25"/>
  <cols>
    <col min="1" max="1" width="42" style="12" customWidth="1"/>
    <col min="2" max="2" width="17.42578125" style="12" customWidth="1"/>
    <col min="3" max="3" width="14.28515625" style="3" bestFit="1" customWidth="1"/>
    <col min="4" max="6" width="14.28515625" style="3" customWidth="1"/>
    <col min="7" max="7" width="21" style="16" customWidth="1"/>
    <col min="8" max="8" width="15.85546875" style="12" customWidth="1"/>
    <col min="9" max="9" width="42" style="12" customWidth="1"/>
    <col min="10" max="10" width="9.140625" style="12"/>
    <col min="11" max="11" width="11.140625" style="12" customWidth="1"/>
    <col min="12" max="15" width="9.140625" style="12"/>
  </cols>
  <sheetData>
    <row r="1" spans="1:1" x14ac:dyDescent="0.25">
      <c r="A1" s="13" t="s">
        <v>364</v>
      </c>
    </row>
  </sheetData>
  <sortState ref="A2:A240">
    <sortCondition ref="A1:A1048576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XFD1048576"/>
    </sheetView>
  </sheetViews>
  <sheetFormatPr defaultRowHeight="15" x14ac:dyDescent="0.25"/>
  <cols>
    <col min="1" max="1" width="35.140625" style="22" customWidth="1"/>
    <col min="2" max="2" width="21" style="22" customWidth="1"/>
    <col min="3" max="3" width="6.140625" style="22" customWidth="1"/>
    <col min="4" max="4" width="34.28515625" style="22" customWidth="1"/>
    <col min="5" max="5" width="14.85546875" style="22" customWidth="1"/>
    <col min="6" max="16384" width="9.140625" style="22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6"/>
  <sheetViews>
    <sheetView workbookViewId="0">
      <selection sqref="A1:A1048576"/>
    </sheetView>
  </sheetViews>
  <sheetFormatPr defaultRowHeight="15" x14ac:dyDescent="0.25"/>
  <cols>
    <col min="1" max="1" width="44.42578125" style="15" customWidth="1"/>
    <col min="2" max="2" width="9.140625" style="12"/>
  </cols>
  <sheetData>
    <row r="1" spans="1:2" x14ac:dyDescent="0.25">
      <c r="A1" s="18" t="s">
        <v>43</v>
      </c>
      <c r="B1" s="18"/>
    </row>
    <row r="2" spans="1:2" x14ac:dyDescent="0.25">
      <c r="A2" s="12" t="s">
        <v>82</v>
      </c>
    </row>
    <row r="3" spans="1:2" x14ac:dyDescent="0.25">
      <c r="A3" s="12" t="s">
        <v>44</v>
      </c>
    </row>
    <row r="4" spans="1:2" x14ac:dyDescent="0.25">
      <c r="A4" s="12" t="s">
        <v>83</v>
      </c>
    </row>
    <row r="5" spans="1:2" x14ac:dyDescent="0.25">
      <c r="A5" s="12" t="s">
        <v>75</v>
      </c>
    </row>
    <row r="6" spans="1:2" x14ac:dyDescent="0.25">
      <c r="A6" s="12" t="s">
        <v>84</v>
      </c>
    </row>
    <row r="7" spans="1:2" x14ac:dyDescent="0.25">
      <c r="A7" s="12" t="s">
        <v>85</v>
      </c>
    </row>
    <row r="8" spans="1:2" x14ac:dyDescent="0.25">
      <c r="A8" s="12" t="s">
        <v>49</v>
      </c>
    </row>
    <row r="9" spans="1:2" x14ac:dyDescent="0.25">
      <c r="A9" s="12" t="s">
        <v>81</v>
      </c>
    </row>
    <row r="10" spans="1:2" x14ac:dyDescent="0.25">
      <c r="A10" s="49" t="s">
        <v>86</v>
      </c>
    </row>
    <row r="11" spans="1:2" x14ac:dyDescent="0.25">
      <c r="A11" s="12" t="s">
        <v>87</v>
      </c>
    </row>
    <row r="12" spans="1:2" x14ac:dyDescent="0.25">
      <c r="A12" s="12" t="s">
        <v>88</v>
      </c>
    </row>
    <row r="13" spans="1:2" x14ac:dyDescent="0.25">
      <c r="A13" s="12" t="s">
        <v>89</v>
      </c>
    </row>
    <row r="14" spans="1:2" x14ac:dyDescent="0.25">
      <c r="A14" s="15" t="s">
        <v>76</v>
      </c>
    </row>
    <row r="15" spans="1:2" x14ac:dyDescent="0.25">
      <c r="A15" s="12" t="s">
        <v>77</v>
      </c>
    </row>
    <row r="16" spans="1:2" x14ac:dyDescent="0.25">
      <c r="A16" s="12" t="s">
        <v>90</v>
      </c>
    </row>
    <row r="17" spans="1:1" x14ac:dyDescent="0.25">
      <c r="A17" s="12" t="s">
        <v>91</v>
      </c>
    </row>
    <row r="18" spans="1:1" x14ac:dyDescent="0.25">
      <c r="A18" s="15" t="s">
        <v>92</v>
      </c>
    </row>
    <row r="19" spans="1:1" x14ac:dyDescent="0.25">
      <c r="A19" s="30" t="s">
        <v>113</v>
      </c>
    </row>
    <row r="20" spans="1:1" x14ac:dyDescent="0.25">
      <c r="A20" s="15" t="s">
        <v>93</v>
      </c>
    </row>
    <row r="21" spans="1:1" x14ac:dyDescent="0.25">
      <c r="A21" s="12" t="s">
        <v>78</v>
      </c>
    </row>
    <row r="22" spans="1:1" x14ac:dyDescent="0.25">
      <c r="A22" s="15" t="s">
        <v>94</v>
      </c>
    </row>
    <row r="23" spans="1:1" x14ac:dyDescent="0.25">
      <c r="A23" s="15" t="s">
        <v>95</v>
      </c>
    </row>
    <row r="24" spans="1:1" x14ac:dyDescent="0.25">
      <c r="A24" s="12" t="s">
        <v>114</v>
      </c>
    </row>
    <row r="25" spans="1:1" x14ac:dyDescent="0.25">
      <c r="A25" s="12" t="s">
        <v>79</v>
      </c>
    </row>
    <row r="26" spans="1:1" x14ac:dyDescent="0.25">
      <c r="A26" s="12" t="s">
        <v>96</v>
      </c>
    </row>
    <row r="27" spans="1:1" x14ac:dyDescent="0.25">
      <c r="A27" s="12" t="s">
        <v>97</v>
      </c>
    </row>
    <row r="28" spans="1:1" x14ac:dyDescent="0.25">
      <c r="A28" s="12" t="s">
        <v>98</v>
      </c>
    </row>
    <row r="29" spans="1:1" x14ac:dyDescent="0.25">
      <c r="A29" s="12" t="s">
        <v>99</v>
      </c>
    </row>
    <row r="30" spans="1:1" x14ac:dyDescent="0.25">
      <c r="A30" s="12" t="s">
        <v>100</v>
      </c>
    </row>
    <row r="31" spans="1:1" x14ac:dyDescent="0.25">
      <c r="A31" s="12" t="s">
        <v>101</v>
      </c>
    </row>
    <row r="32" spans="1:1" x14ac:dyDescent="0.25">
      <c r="A32" s="12" t="s">
        <v>102</v>
      </c>
    </row>
    <row r="33" spans="1:1" x14ac:dyDescent="0.25">
      <c r="A33" s="12" t="s">
        <v>103</v>
      </c>
    </row>
    <row r="34" spans="1:1" x14ac:dyDescent="0.25">
      <c r="A34" s="12" t="s">
        <v>104</v>
      </c>
    </row>
    <row r="35" spans="1:1" x14ac:dyDescent="0.25">
      <c r="A35" s="12" t="s">
        <v>105</v>
      </c>
    </row>
    <row r="36" spans="1:1" x14ac:dyDescent="0.25">
      <c r="A36" s="12" t="s">
        <v>106</v>
      </c>
    </row>
    <row r="37" spans="1:1" x14ac:dyDescent="0.25">
      <c r="A37" s="12" t="s">
        <v>80</v>
      </c>
    </row>
    <row r="38" spans="1:1" x14ac:dyDescent="0.25">
      <c r="A38" s="12" t="s">
        <v>107</v>
      </c>
    </row>
    <row r="39" spans="1:1" x14ac:dyDescent="0.25">
      <c r="A39" s="12" t="s">
        <v>108</v>
      </c>
    </row>
    <row r="40" spans="1:1" x14ac:dyDescent="0.25">
      <c r="A40" s="12" t="s">
        <v>109</v>
      </c>
    </row>
    <row r="41" spans="1:1" x14ac:dyDescent="0.25">
      <c r="A41" s="12" t="s">
        <v>136</v>
      </c>
    </row>
    <row r="42" spans="1:1" x14ac:dyDescent="0.25">
      <c r="A42" s="12" t="s">
        <v>110</v>
      </c>
    </row>
    <row r="43" spans="1:1" x14ac:dyDescent="0.25">
      <c r="A43" s="12"/>
    </row>
    <row r="47" spans="1:1" x14ac:dyDescent="0.25">
      <c r="A47" s="12"/>
    </row>
    <row r="48" spans="1:1" x14ac:dyDescent="0.25">
      <c r="A48" s="12"/>
    </row>
    <row r="49" spans="1:1" x14ac:dyDescent="0.25">
      <c r="A49" s="12"/>
    </row>
    <row r="50" spans="1:1" x14ac:dyDescent="0.25">
      <c r="A50" s="12"/>
    </row>
    <row r="51" spans="1:1" x14ac:dyDescent="0.25">
      <c r="A51" s="12"/>
    </row>
    <row r="52" spans="1:1" x14ac:dyDescent="0.25">
      <c r="A52" s="12"/>
    </row>
    <row r="53" spans="1:1" x14ac:dyDescent="0.25">
      <c r="A53" s="12"/>
    </row>
    <row r="54" spans="1:1" x14ac:dyDescent="0.25">
      <c r="A54" s="12"/>
    </row>
    <row r="55" spans="1:1" x14ac:dyDescent="0.25">
      <c r="A55" s="12"/>
    </row>
    <row r="56" spans="1:1" x14ac:dyDescent="0.25">
      <c r="A56" s="12"/>
    </row>
    <row r="57" spans="1:1" x14ac:dyDescent="0.25">
      <c r="A57" s="12"/>
    </row>
    <row r="58" spans="1:1" x14ac:dyDescent="0.25">
      <c r="A58" s="12"/>
    </row>
    <row r="59" spans="1:1" x14ac:dyDescent="0.25">
      <c r="A59" s="12"/>
    </row>
    <row r="60" spans="1:1" x14ac:dyDescent="0.25">
      <c r="A60" s="12"/>
    </row>
    <row r="61" spans="1:1" x14ac:dyDescent="0.25">
      <c r="A61" s="12"/>
    </row>
    <row r="64" spans="1:1" x14ac:dyDescent="0.25">
      <c r="A64" s="12"/>
    </row>
    <row r="65" spans="1:1" x14ac:dyDescent="0.25">
      <c r="A65" s="12"/>
    </row>
    <row r="66" spans="1:1" x14ac:dyDescent="0.25">
      <c r="A66" s="12"/>
    </row>
    <row r="67" spans="1:1" x14ac:dyDescent="0.25">
      <c r="A67" s="12"/>
    </row>
    <row r="68" spans="1:1" x14ac:dyDescent="0.25">
      <c r="A68" s="12"/>
    </row>
    <row r="69" spans="1:1" x14ac:dyDescent="0.25">
      <c r="A69" s="12"/>
    </row>
    <row r="70" spans="1:1" x14ac:dyDescent="0.25">
      <c r="A70" s="12"/>
    </row>
    <row r="71" spans="1:1" x14ac:dyDescent="0.25">
      <c r="A71" s="12"/>
    </row>
    <row r="72" spans="1:1" x14ac:dyDescent="0.25">
      <c r="A72" s="12"/>
    </row>
    <row r="73" spans="1:1" x14ac:dyDescent="0.25">
      <c r="A73" s="12"/>
    </row>
    <row r="74" spans="1:1" x14ac:dyDescent="0.25">
      <c r="A74" s="12"/>
    </row>
    <row r="78" spans="1:1" x14ac:dyDescent="0.25">
      <c r="A78" s="12"/>
    </row>
    <row r="79" spans="1:1" x14ac:dyDescent="0.25">
      <c r="A79" s="12"/>
    </row>
    <row r="80" spans="1:1" x14ac:dyDescent="0.25">
      <c r="A80" s="12"/>
    </row>
    <row r="81" spans="1:1" x14ac:dyDescent="0.25">
      <c r="A81" s="12"/>
    </row>
    <row r="84" spans="1:1" x14ac:dyDescent="0.25">
      <c r="A84" s="12"/>
    </row>
    <row r="85" spans="1:1" x14ac:dyDescent="0.25">
      <c r="A85" s="12"/>
    </row>
    <row r="86" spans="1:1" x14ac:dyDescent="0.25">
      <c r="A86" s="12"/>
    </row>
    <row r="87" spans="1:1" x14ac:dyDescent="0.25">
      <c r="A87" s="12"/>
    </row>
    <row r="88" spans="1:1" x14ac:dyDescent="0.25">
      <c r="A88" s="12"/>
    </row>
    <row r="89" spans="1:1" x14ac:dyDescent="0.25">
      <c r="A89" s="12"/>
    </row>
    <row r="93" spans="1:1" x14ac:dyDescent="0.25">
      <c r="A93" s="12"/>
    </row>
    <row r="94" spans="1:1" x14ac:dyDescent="0.25">
      <c r="A94" s="12"/>
    </row>
    <row r="95" spans="1:1" x14ac:dyDescent="0.25">
      <c r="A95" s="12"/>
    </row>
    <row r="96" spans="1:1" x14ac:dyDescent="0.25">
      <c r="A96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14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18.85546875" style="28" customWidth="1"/>
    <col min="2" max="2" width="43.5703125" style="29" customWidth="1"/>
    <col min="3" max="3" width="46.85546875" style="16" customWidth="1"/>
    <col min="4" max="4" width="17.85546875" style="14" customWidth="1"/>
  </cols>
  <sheetData>
    <row r="1" spans="1:4" x14ac:dyDescent="0.25">
      <c r="A1" s="23"/>
      <c r="B1" s="13"/>
      <c r="C1" s="17"/>
      <c r="D1" s="17"/>
    </row>
    <row r="2" spans="1:4" x14ac:dyDescent="0.25">
      <c r="A2" s="24"/>
      <c r="B2" s="25"/>
      <c r="C2" s="12"/>
    </row>
    <row r="3" spans="1:4" x14ac:dyDescent="0.25">
      <c r="A3" s="24"/>
      <c r="B3" s="25"/>
      <c r="C3" s="12"/>
    </row>
    <row r="4" spans="1:4" x14ac:dyDescent="0.25">
      <c r="A4" s="24"/>
      <c r="B4" s="25"/>
      <c r="C4" s="12"/>
    </row>
    <row r="5" spans="1:4" x14ac:dyDescent="0.25">
      <c r="A5" s="24"/>
      <c r="B5" s="25"/>
      <c r="C5" s="12"/>
    </row>
    <row r="6" spans="1:4" x14ac:dyDescent="0.25">
      <c r="A6" s="24"/>
      <c r="B6" s="25"/>
      <c r="C6" s="12"/>
    </row>
    <row r="7" spans="1:4" x14ac:dyDescent="0.25">
      <c r="A7" s="24"/>
      <c r="B7" s="25"/>
      <c r="C7" s="12"/>
    </row>
    <row r="8" spans="1:4" x14ac:dyDescent="0.25">
      <c r="A8" s="24"/>
      <c r="B8" s="25"/>
      <c r="C8" s="12"/>
    </row>
    <row r="9" spans="1:4" x14ac:dyDescent="0.25">
      <c r="A9" s="24"/>
      <c r="B9" s="25"/>
      <c r="C9" s="12"/>
    </row>
    <row r="10" spans="1:4" x14ac:dyDescent="0.25">
      <c r="A10" s="26"/>
      <c r="B10" s="43"/>
    </row>
    <row r="11" spans="1:4" x14ac:dyDescent="0.25">
      <c r="A11" s="26"/>
      <c r="B11" s="43"/>
    </row>
    <row r="12" spans="1:4" x14ac:dyDescent="0.25">
      <c r="A12" s="26"/>
      <c r="B12" s="43"/>
    </row>
    <row r="13" spans="1:4" x14ac:dyDescent="0.25">
      <c r="A13" s="26"/>
      <c r="B13" s="43"/>
    </row>
    <row r="14" spans="1:4" x14ac:dyDescent="0.25">
      <c r="A14" s="26"/>
      <c r="B14" s="43"/>
    </row>
    <row r="15" spans="1:4" x14ac:dyDescent="0.25">
      <c r="A15" s="26"/>
      <c r="B15" s="43"/>
    </row>
    <row r="16" spans="1:4" x14ac:dyDescent="0.25">
      <c r="A16" s="26"/>
      <c r="B16" s="43"/>
    </row>
    <row r="17" spans="1:2" x14ac:dyDescent="0.25">
      <c r="A17" s="26"/>
      <c r="B17" s="43"/>
    </row>
    <row r="18" spans="1:2" x14ac:dyDescent="0.25">
      <c r="A18" s="26"/>
      <c r="B18" s="43"/>
    </row>
    <row r="19" spans="1:2" x14ac:dyDescent="0.25">
      <c r="A19" s="26"/>
      <c r="B19" s="43"/>
    </row>
    <row r="20" spans="1:2" x14ac:dyDescent="0.25">
      <c r="A20" s="26"/>
      <c r="B20" s="43"/>
    </row>
    <row r="21" spans="1:2" x14ac:dyDescent="0.25">
      <c r="A21" s="26"/>
      <c r="B21" s="43"/>
    </row>
    <row r="22" spans="1:2" x14ac:dyDescent="0.25">
      <c r="A22" s="26"/>
      <c r="B22" s="43"/>
    </row>
    <row r="23" spans="1:2" x14ac:dyDescent="0.25">
      <c r="A23" s="26"/>
      <c r="B23" s="43"/>
    </row>
    <row r="24" spans="1:2" x14ac:dyDescent="0.25">
      <c r="A24" s="26"/>
      <c r="B24" s="43"/>
    </row>
    <row r="25" spans="1:2" x14ac:dyDescent="0.25">
      <c r="A25" s="26"/>
      <c r="B25" s="43"/>
    </row>
    <row r="26" spans="1:2" x14ac:dyDescent="0.25">
      <c r="A26" s="26"/>
      <c r="B26" s="43"/>
    </row>
    <row r="27" spans="1:2" x14ac:dyDescent="0.25">
      <c r="A27" s="26"/>
      <c r="B27" s="43"/>
    </row>
    <row r="28" spans="1:2" x14ac:dyDescent="0.25">
      <c r="A28" s="26"/>
      <c r="B28" s="43"/>
    </row>
    <row r="29" spans="1:2" x14ac:dyDescent="0.25">
      <c r="A29" s="26"/>
      <c r="B29" s="43"/>
    </row>
    <row r="30" spans="1:2" x14ac:dyDescent="0.25">
      <c r="A30" s="26"/>
      <c r="B30" s="43"/>
    </row>
    <row r="31" spans="1:2" x14ac:dyDescent="0.25">
      <c r="A31" s="26"/>
      <c r="B31" s="43"/>
    </row>
    <row r="32" spans="1:2" x14ac:dyDescent="0.25">
      <c r="A32" s="26"/>
      <c r="B32" s="43"/>
    </row>
    <row r="33" spans="1:2" x14ac:dyDescent="0.25">
      <c r="A33" s="26"/>
      <c r="B33" s="43"/>
    </row>
    <row r="34" spans="1:2" x14ac:dyDescent="0.25">
      <c r="A34" s="26"/>
      <c r="B34" s="43"/>
    </row>
    <row r="35" spans="1:2" x14ac:dyDescent="0.25">
      <c r="A35" s="26"/>
      <c r="B35" s="43"/>
    </row>
    <row r="36" spans="1:2" x14ac:dyDescent="0.25">
      <c r="A36" s="26"/>
      <c r="B36" s="43"/>
    </row>
    <row r="37" spans="1:2" x14ac:dyDescent="0.25">
      <c r="A37" s="26"/>
      <c r="B37" s="43"/>
    </row>
    <row r="38" spans="1:2" x14ac:dyDescent="0.25">
      <c r="A38" s="26"/>
      <c r="B38" s="43"/>
    </row>
    <row r="39" spans="1:2" x14ac:dyDescent="0.25">
      <c r="A39" s="26"/>
      <c r="B39" s="43"/>
    </row>
    <row r="40" spans="1:2" x14ac:dyDescent="0.25">
      <c r="A40" s="26"/>
      <c r="B40" s="43"/>
    </row>
    <row r="41" spans="1:2" x14ac:dyDescent="0.25">
      <c r="A41" s="26"/>
      <c r="B41" s="43"/>
    </row>
    <row r="42" spans="1:2" x14ac:dyDescent="0.25">
      <c r="A42" s="26"/>
      <c r="B42" s="43"/>
    </row>
    <row r="43" spans="1:2" x14ac:dyDescent="0.25">
      <c r="A43" s="26"/>
      <c r="B43" s="43"/>
    </row>
    <row r="44" spans="1:2" x14ac:dyDescent="0.25">
      <c r="A44" s="26"/>
      <c r="B44" s="43"/>
    </row>
    <row r="45" spans="1:2" x14ac:dyDescent="0.25">
      <c r="A45" s="26"/>
      <c r="B45" s="43"/>
    </row>
    <row r="46" spans="1:2" x14ac:dyDescent="0.25">
      <c r="A46" s="26"/>
      <c r="B46" s="43"/>
    </row>
    <row r="47" spans="1:2" x14ac:dyDescent="0.25">
      <c r="A47" s="26"/>
      <c r="B47" s="43"/>
    </row>
    <row r="48" spans="1:2" x14ac:dyDescent="0.25">
      <c r="A48" s="26"/>
      <c r="B48" s="43"/>
    </row>
    <row r="49" spans="1:3" x14ac:dyDescent="0.25">
      <c r="A49" s="26"/>
      <c r="B49" s="43"/>
    </row>
    <row r="51" spans="1:3" x14ac:dyDescent="0.25">
      <c r="A51" s="26"/>
      <c r="B51" s="43"/>
      <c r="C51" s="12"/>
    </row>
    <row r="52" spans="1:3" x14ac:dyDescent="0.25">
      <c r="A52" s="26"/>
      <c r="B52" s="43"/>
      <c r="C52" s="12"/>
    </row>
    <row r="53" spans="1:3" x14ac:dyDescent="0.25">
      <c r="A53" s="26"/>
      <c r="B53" s="43"/>
      <c r="C53" s="12"/>
    </row>
    <row r="54" spans="1:3" x14ac:dyDescent="0.25">
      <c r="A54" s="26"/>
      <c r="B54" s="43"/>
      <c r="C54" s="12"/>
    </row>
    <row r="55" spans="1:3" x14ac:dyDescent="0.25">
      <c r="A55" s="26"/>
      <c r="B55" s="43"/>
      <c r="C55" s="12"/>
    </row>
    <row r="56" spans="1:3" x14ac:dyDescent="0.25">
      <c r="A56" s="26"/>
      <c r="B56" s="43"/>
      <c r="C56" s="12"/>
    </row>
    <row r="57" spans="1:3" x14ac:dyDescent="0.25">
      <c r="A57" s="26"/>
      <c r="B57" s="43"/>
      <c r="C57" s="12"/>
    </row>
    <row r="64" spans="1:3" x14ac:dyDescent="0.25">
      <c r="A64" s="26"/>
      <c r="B64" s="43"/>
      <c r="C64" s="12"/>
    </row>
    <row r="65" spans="1:3" x14ac:dyDescent="0.25">
      <c r="A65" s="26"/>
      <c r="B65" s="43"/>
      <c r="C65" s="12"/>
    </row>
    <row r="66" spans="1:3" x14ac:dyDescent="0.25">
      <c r="A66" s="26"/>
      <c r="B66" s="43"/>
      <c r="C66" s="12"/>
    </row>
    <row r="67" spans="1:3" x14ac:dyDescent="0.25">
      <c r="A67" s="26"/>
      <c r="B67" s="43"/>
      <c r="C67" s="12"/>
    </row>
    <row r="68" spans="1:3" x14ac:dyDescent="0.25">
      <c r="A68" s="26"/>
      <c r="B68" s="43"/>
      <c r="C68" s="12"/>
    </row>
    <row r="69" spans="1:3" x14ac:dyDescent="0.25">
      <c r="A69" s="26"/>
      <c r="B69" s="43"/>
      <c r="C69" s="12"/>
    </row>
    <row r="70" spans="1:3" x14ac:dyDescent="0.25">
      <c r="A70" s="26"/>
      <c r="B70" s="43"/>
      <c r="C70" s="12"/>
    </row>
    <row r="71" spans="1:3" x14ac:dyDescent="0.25">
      <c r="A71" s="26"/>
      <c r="B71" s="43"/>
      <c r="C71" s="12"/>
    </row>
    <row r="72" spans="1:3" x14ac:dyDescent="0.25">
      <c r="A72" s="26"/>
      <c r="B72" s="43"/>
      <c r="C72" s="12"/>
    </row>
    <row r="73" spans="1:3" x14ac:dyDescent="0.25">
      <c r="A73" s="26"/>
      <c r="B73" s="43"/>
      <c r="C73" s="12"/>
    </row>
    <row r="74" spans="1:3" x14ac:dyDescent="0.25">
      <c r="A74" s="26"/>
      <c r="B74" s="43"/>
      <c r="C74" s="12"/>
    </row>
    <row r="75" spans="1:3" x14ac:dyDescent="0.25">
      <c r="A75" s="26"/>
      <c r="B75" s="43"/>
      <c r="C75" s="12"/>
    </row>
    <row r="76" spans="1:3" x14ac:dyDescent="0.25">
      <c r="A76" s="26"/>
      <c r="B76" s="43"/>
      <c r="C76" s="12"/>
    </row>
    <row r="77" spans="1:3" x14ac:dyDescent="0.25">
      <c r="A77" s="26"/>
      <c r="B77" s="43"/>
      <c r="C77" s="12"/>
    </row>
    <row r="78" spans="1:3" x14ac:dyDescent="0.25">
      <c r="A78" s="26"/>
      <c r="B78" s="43"/>
      <c r="C78" s="12"/>
    </row>
    <row r="79" spans="1:3" x14ac:dyDescent="0.25">
      <c r="A79" s="26"/>
      <c r="B79" s="43"/>
      <c r="C79" s="12"/>
    </row>
    <row r="80" spans="1:3" x14ac:dyDescent="0.25">
      <c r="A80" s="26"/>
      <c r="B80" s="43"/>
      <c r="C80" s="12"/>
    </row>
    <row r="81" spans="1:3" x14ac:dyDescent="0.25">
      <c r="A81" s="26"/>
      <c r="B81" s="43"/>
      <c r="C81" s="12"/>
    </row>
    <row r="82" spans="1:3" x14ac:dyDescent="0.25">
      <c r="A82" s="26"/>
      <c r="B82" s="43"/>
      <c r="C82" s="12"/>
    </row>
    <row r="83" spans="1:3" x14ac:dyDescent="0.25">
      <c r="A83" s="26"/>
      <c r="B83" s="43"/>
      <c r="C83" s="12"/>
    </row>
    <row r="84" spans="1:3" x14ac:dyDescent="0.25">
      <c r="A84" s="26"/>
      <c r="B84" s="43"/>
      <c r="C84" s="12"/>
    </row>
    <row r="85" spans="1:3" x14ac:dyDescent="0.25">
      <c r="A85" s="26"/>
      <c r="B85" s="43"/>
      <c r="C85" s="12"/>
    </row>
    <row r="86" spans="1:3" x14ac:dyDescent="0.25">
      <c r="A86" s="26"/>
      <c r="B86" s="43"/>
      <c r="C86" s="12"/>
    </row>
    <row r="87" spans="1:3" x14ac:dyDescent="0.25">
      <c r="A87" s="26"/>
      <c r="B87" s="43"/>
      <c r="C87" s="12"/>
    </row>
    <row r="88" spans="1:3" x14ac:dyDescent="0.25">
      <c r="A88" s="26"/>
      <c r="B88" s="43"/>
      <c r="C88" s="12"/>
    </row>
    <row r="89" spans="1:3" x14ac:dyDescent="0.25">
      <c r="A89" s="26"/>
      <c r="B89" s="43"/>
      <c r="C89" s="12"/>
    </row>
    <row r="90" spans="1:3" x14ac:dyDescent="0.25">
      <c r="A90" s="26"/>
      <c r="B90" s="43"/>
      <c r="C90" s="12"/>
    </row>
    <row r="91" spans="1:3" x14ac:dyDescent="0.25">
      <c r="A91" s="26"/>
      <c r="B91" s="43"/>
      <c r="C91" s="12"/>
    </row>
    <row r="92" spans="1:3" x14ac:dyDescent="0.25">
      <c r="A92" s="26"/>
      <c r="B92" s="43"/>
      <c r="C92" s="12"/>
    </row>
    <row r="93" spans="1:3" x14ac:dyDescent="0.25">
      <c r="A93" s="26"/>
      <c r="B93" s="43"/>
      <c r="C93" s="12"/>
    </row>
    <row r="94" spans="1:3" x14ac:dyDescent="0.25">
      <c r="A94" s="26"/>
      <c r="B94" s="43"/>
      <c r="C94" s="12"/>
    </row>
    <row r="95" spans="1:3" x14ac:dyDescent="0.25">
      <c r="A95" s="26"/>
      <c r="B95" s="43"/>
      <c r="C95" s="12"/>
    </row>
    <row r="96" spans="1:3" x14ac:dyDescent="0.25">
      <c r="A96" s="26"/>
      <c r="B96" s="43"/>
      <c r="C96" s="12"/>
    </row>
    <row r="97" spans="1:3" x14ac:dyDescent="0.25">
      <c r="A97" s="26"/>
      <c r="B97" s="43"/>
      <c r="C97" s="12"/>
    </row>
    <row r="98" spans="1:3" x14ac:dyDescent="0.25">
      <c r="A98" s="26"/>
      <c r="B98" s="43"/>
      <c r="C98" s="12"/>
    </row>
    <row r="99" spans="1:3" x14ac:dyDescent="0.25">
      <c r="A99" s="26"/>
      <c r="B99" s="43"/>
      <c r="C99" s="12"/>
    </row>
    <row r="100" spans="1:3" x14ac:dyDescent="0.25">
      <c r="A100" s="26"/>
      <c r="B100" s="43"/>
      <c r="C100" s="12"/>
    </row>
    <row r="101" spans="1:3" x14ac:dyDescent="0.25">
      <c r="A101" s="26"/>
      <c r="B101" s="43"/>
      <c r="C101" s="12"/>
    </row>
    <row r="102" spans="1:3" x14ac:dyDescent="0.25">
      <c r="A102" s="26"/>
      <c r="B102" s="43"/>
      <c r="C102" s="12"/>
    </row>
    <row r="103" spans="1:3" x14ac:dyDescent="0.25">
      <c r="A103" s="26"/>
      <c r="B103" s="43"/>
      <c r="C103" s="12"/>
    </row>
    <row r="104" spans="1:3" x14ac:dyDescent="0.25">
      <c r="A104" s="26"/>
      <c r="B104" s="43"/>
      <c r="C104" s="12"/>
    </row>
    <row r="105" spans="1:3" x14ac:dyDescent="0.25">
      <c r="A105" s="26"/>
      <c r="B105" s="43"/>
      <c r="C105" s="12"/>
    </row>
    <row r="106" spans="1:3" x14ac:dyDescent="0.25">
      <c r="A106" s="26"/>
      <c r="B106" s="43"/>
      <c r="C106" s="12"/>
    </row>
    <row r="107" spans="1:3" x14ac:dyDescent="0.25">
      <c r="A107" s="26"/>
      <c r="B107" s="43"/>
      <c r="C107" s="12"/>
    </row>
    <row r="108" spans="1:3" x14ac:dyDescent="0.25">
      <c r="A108" s="26"/>
      <c r="B108" s="43"/>
      <c r="C108" s="12"/>
    </row>
    <row r="109" spans="1:3" x14ac:dyDescent="0.25">
      <c r="A109" s="26"/>
      <c r="B109" s="43"/>
      <c r="C109" s="12"/>
    </row>
    <row r="110" spans="1:3" x14ac:dyDescent="0.25">
      <c r="A110" s="26"/>
      <c r="B110" s="43"/>
      <c r="C110" s="12"/>
    </row>
    <row r="111" spans="1:3" x14ac:dyDescent="0.25">
      <c r="A111" s="26"/>
      <c r="B111" s="43"/>
      <c r="C111" s="12"/>
    </row>
    <row r="112" spans="1:3" x14ac:dyDescent="0.25">
      <c r="A112" s="26"/>
      <c r="B112" s="43"/>
      <c r="C112" s="12"/>
    </row>
    <row r="113" spans="1:3" x14ac:dyDescent="0.25">
      <c r="A113" s="26"/>
      <c r="B113" s="43"/>
      <c r="C113" s="12"/>
    </row>
    <row r="114" spans="1:3" x14ac:dyDescent="0.25">
      <c r="A114" s="26"/>
      <c r="B114" s="43"/>
      <c r="C114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CD3</vt:lpstr>
      <vt:lpstr>LINK</vt:lpstr>
      <vt:lpstr>LISTS</vt:lpstr>
      <vt:lpstr>DEBTORLOG</vt:lpstr>
      <vt:lpstr>LOG</vt:lpstr>
      <vt:lpstr>REF</vt:lpstr>
      <vt:lpstr>SUMMARY</vt:lpstr>
      <vt:lpstr>ACC</vt:lpstr>
      <vt:lpstr>CREDITORS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cp:lastPrinted>2016-01-29T05:33:00Z</cp:lastPrinted>
  <dcterms:created xsi:type="dcterms:W3CDTF">2015-05-22T14:56:01Z</dcterms:created>
  <dcterms:modified xsi:type="dcterms:W3CDTF">2016-02-22T15:14:46Z</dcterms:modified>
</cp:coreProperties>
</file>