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729" codeName="{1563B04E-AB91-75FE-B8BC-B18F01832D5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&amp;E Farming\VBA Functions\"/>
    </mc:Choice>
  </mc:AlternateContent>
  <bookViews>
    <workbookView xWindow="480" yWindow="480" windowWidth="19875" windowHeight="7590"/>
  </bookViews>
  <sheets>
    <sheet name="COVER" sheetId="1" r:id="rId1"/>
    <sheet name="LINK" sheetId="2" state="hidden" r:id="rId2"/>
    <sheet name="EMAILS" sheetId="9" state="hidden" r:id="rId3"/>
    <sheet name="LISTS" sheetId="3" state="hidden" r:id="rId4"/>
    <sheet name="USD" sheetId="20" state="hidden" r:id="rId5"/>
    <sheet name="RAND" sheetId="21" state="hidden" r:id="rId6"/>
    <sheet name="SUMMARY" sheetId="5" state="hidden" r:id="rId7"/>
    <sheet name="CREDITORS" sheetId="8" state="hidden" r:id="rId8"/>
    <sheet name="DEBTORS" sheetId="10" state="hidden" r:id="rId9"/>
    <sheet name="OPEN TRIP SHEETS" sheetId="13" state="hidden" r:id="rId10"/>
    <sheet name="CLOSED TRIP SHEETS" sheetId="12" state="hidden" r:id="rId11"/>
    <sheet name="CD3 SCHEDULE" sheetId="11" state="hidden" r:id="rId12"/>
    <sheet name="TRIP SHEET AUDIT" sheetId="14" state="hidden" r:id="rId13"/>
    <sheet name="VAT SCHEDULE" sheetId="15" state="hidden" r:id="rId14"/>
    <sheet name="CD3 STOCK" sheetId="18" state="hidden" r:id="rId15"/>
    <sheet name="TRIP RATES" sheetId="19" state="hidden" r:id="rId16"/>
  </sheets>
  <definedNames>
    <definedName name="_xlnm._FilterDatabase" localSheetId="11" hidden="1">'CD3 SCHEDULE'!$A$1:$O$149</definedName>
    <definedName name="_xlnm._FilterDatabase" localSheetId="10" hidden="1">'CLOSED TRIP SHEETS'!$A$1:$T$36</definedName>
    <definedName name="_xlnm._FilterDatabase" localSheetId="8" hidden="1">DEBTORS!$A$1:$D$47</definedName>
    <definedName name="_xlnm._FilterDatabase" localSheetId="9" hidden="1">'OPEN TRIP SHEETS'!$A$1:$B$141</definedName>
    <definedName name="_xlnm._FilterDatabase" localSheetId="12" hidden="1">'TRIP SHEET AUDIT'!$A$1:$B$122</definedName>
    <definedName name="_xlnm._FilterDatabase" localSheetId="13" hidden="1">'VAT SCHEDULE'!$A$1:$G$91</definedName>
  </definedNames>
  <calcPr calcId="171027"/>
</workbook>
</file>

<file path=xl/calcChain.xml><?xml version="1.0" encoding="utf-8"?>
<calcChain xmlns="http://schemas.openxmlformats.org/spreadsheetml/2006/main">
  <c r="B18" i="5" l="1"/>
  <c r="E3" i="5" l="1"/>
  <c r="B3" i="5"/>
  <c r="B1" i="9" l="1"/>
  <c r="B2" i="9" s="1"/>
  <c r="E2" i="9" l="1"/>
  <c r="D2" i="9"/>
  <c r="D53" i="2"/>
  <c r="B51" i="2" l="1"/>
  <c r="B52" i="2" s="1"/>
  <c r="C50" i="2"/>
  <c r="B92" i="2" l="1"/>
  <c r="D92" i="2" s="1"/>
  <c r="B89" i="2"/>
  <c r="C88" i="2"/>
  <c r="C87" i="2"/>
  <c r="C91" i="2"/>
  <c r="C89" i="2" l="1"/>
  <c r="D26" i="2"/>
  <c r="B54" i="2" l="1"/>
  <c r="B31" i="2" l="1"/>
  <c r="G1" i="2" l="1"/>
  <c r="D1" i="2" s="1"/>
  <c r="E1" i="2" l="1"/>
  <c r="E2" i="2"/>
  <c r="F2" i="2" l="1"/>
  <c r="F1" i="2"/>
  <c r="G31" i="2" l="1"/>
  <c r="F31" i="2"/>
  <c r="E31" i="2"/>
  <c r="D31" i="2"/>
  <c r="C31" i="2"/>
  <c r="B30" i="2" l="1"/>
  <c r="C47" i="2" l="1"/>
  <c r="D45" i="2"/>
  <c r="D44" i="2"/>
  <c r="B41" i="2" l="1"/>
  <c r="D36" i="2"/>
  <c r="B26" i="2" l="1"/>
  <c r="B1" i="2" l="1"/>
</calcChain>
</file>

<file path=xl/sharedStrings.xml><?xml version="1.0" encoding="utf-8"?>
<sst xmlns="http://schemas.openxmlformats.org/spreadsheetml/2006/main" count="136" uniqueCount="114">
  <si>
    <t>DATE &amp; TIME</t>
  </si>
  <si>
    <t>.xlsm</t>
  </si>
  <si>
    <t>FORCED UPPER</t>
  </si>
  <si>
    <t>ACCOUNT NAMES</t>
  </si>
  <si>
    <t>OLD COST EX WIP</t>
  </si>
  <si>
    <t>NEW COST FOR WIP</t>
  </si>
  <si>
    <t>AUTHORIZED BY</t>
  </si>
  <si>
    <t>AUTHORIZED</t>
  </si>
  <si>
    <t>NAME</t>
  </si>
  <si>
    <t>ADDITION TO UF2</t>
  </si>
  <si>
    <t>OTHER NAME</t>
  </si>
  <si>
    <t>OVERHEAD DISTRIBUTION</t>
  </si>
  <si>
    <t>DYNAMIC JOB NUMBER</t>
  </si>
  <si>
    <t>DYNAMIC TO WIP FILES</t>
  </si>
  <si>
    <t>PROPORTIONED VALUE</t>
  </si>
  <si>
    <t>UF4 DEBITED FROM</t>
  </si>
  <si>
    <t>UF4 CREDITED TO</t>
  </si>
  <si>
    <t>UF4 DETAILS</t>
  </si>
  <si>
    <t>UF4 ABORT</t>
  </si>
  <si>
    <t>UF4 DATE</t>
  </si>
  <si>
    <t>DYNAMIC ACC NAME</t>
  </si>
  <si>
    <t>FOR COPY TO SUMMARY</t>
  </si>
  <si>
    <t>TOTAL OF OVERHEADS</t>
  </si>
  <si>
    <t xml:space="preserve"> - Overhead Amounts</t>
  </si>
  <si>
    <t>.xlsx</t>
  </si>
  <si>
    <t>UF5 ABORT</t>
  </si>
  <si>
    <t>UF5 CONFIRM</t>
  </si>
  <si>
    <t>OLD VALUE EX WIP LOG</t>
  </si>
  <si>
    <t>NEW VALUE FOR WIP LOG</t>
  </si>
  <si>
    <t>BANK CHARGES</t>
  </si>
  <si>
    <t>UF9 DESCRIPTION</t>
  </si>
  <si>
    <t>UF9 ABORT</t>
  </si>
  <si>
    <t>UF9 RAND</t>
  </si>
  <si>
    <t>UF9 USD</t>
  </si>
  <si>
    <t>CURRENCY</t>
  </si>
  <si>
    <t>RAND</t>
  </si>
  <si>
    <t>USD</t>
  </si>
  <si>
    <t>UF4 VALUE DEBITED</t>
  </si>
  <si>
    <t>UF4 VALUE CREDITED</t>
  </si>
  <si>
    <t>UF4 EXCHANGE RATE</t>
  </si>
  <si>
    <t>TRANSACTION</t>
  </si>
  <si>
    <t>CASH WITHDRAWAL</t>
  </si>
  <si>
    <t>COMMISION ON WITHDRAWAL</t>
  </si>
  <si>
    <t>INTEREST APPLICATION</t>
  </si>
  <si>
    <t>INTERMEDITARY TAX</t>
  </si>
  <si>
    <t>SERVICE FEES</t>
  </si>
  <si>
    <t>AFRITYRE</t>
  </si>
  <si>
    <t xml:space="preserve">HALSTEAD </t>
  </si>
  <si>
    <t>UF2 VAT #</t>
  </si>
  <si>
    <t>UF6 SELECTION</t>
  </si>
  <si>
    <t>CREDITOR</t>
  </si>
  <si>
    <t>VAT #</t>
  </si>
  <si>
    <t>ADLAN AUTO SPARES</t>
  </si>
  <si>
    <t>AMANAT</t>
  </si>
  <si>
    <t>ASSOCIATED AIR BRAKE SERVICES</t>
  </si>
  <si>
    <t>CBS</t>
  </si>
  <si>
    <t>DHL</t>
  </si>
  <si>
    <t>ECONET</t>
  </si>
  <si>
    <t>F.G ENTERPRISES</t>
  </si>
  <si>
    <t>FAYNAS FASTENERS</t>
  </si>
  <si>
    <t>FM REFRIGERATION SERVIVES</t>
  </si>
  <si>
    <t>INDALE</t>
  </si>
  <si>
    <t>JIMMY'S DIESEL</t>
  </si>
  <si>
    <t>MIDAS</t>
  </si>
  <si>
    <t>MIKE APPLE</t>
  </si>
  <si>
    <t>PELA-PRINT</t>
  </si>
  <si>
    <t>PETER SIGNS</t>
  </si>
  <si>
    <t>QUICKMAN RADIATORS</t>
  </si>
  <si>
    <t>SELECTED SUPPLIES</t>
  </si>
  <si>
    <t>SWAB ENTERPRISES</t>
  </si>
  <si>
    <t>TASA MARKETING</t>
  </si>
  <si>
    <t>TRUCKMAN</t>
  </si>
  <si>
    <t>TURNRIDGE TRADING</t>
  </si>
  <si>
    <t>TYCO INTERNATIONAL</t>
  </si>
  <si>
    <t>WINDSCREEN SERVICES AND REPLACEMENT</t>
  </si>
  <si>
    <t>ACE HARDWARE</t>
  </si>
  <si>
    <t>AUTOMAN</t>
  </si>
  <si>
    <t>DOUBLE T</t>
  </si>
  <si>
    <t>GARAGE &amp; FORECOURT</t>
  </si>
  <si>
    <t>GLYN'S BOLTS</t>
  </si>
  <si>
    <t>HILMAX ENGINEERING</t>
  </si>
  <si>
    <t>HOLLICK</t>
  </si>
  <si>
    <t xml:space="preserve">INK LOGISTICS </t>
  </si>
  <si>
    <t>MIKE'S RADIATORS</t>
  </si>
  <si>
    <t>PROFESSIONAL OIL SEALS</t>
  </si>
  <si>
    <t>RANK WHOLESALERS</t>
  </si>
  <si>
    <t>SCOTIA MOTOR ENGINEERING</t>
  </si>
  <si>
    <t>SENDEM TRANSPORT LOGISTICS</t>
  </si>
  <si>
    <t>SMART LOGISTICS</t>
  </si>
  <si>
    <t>TRANSPORT OPERATORS' ASSOCIATION</t>
  </si>
  <si>
    <t>TRUCKSERVE</t>
  </si>
  <si>
    <t>ULMERTZ</t>
  </si>
  <si>
    <t>ZOL</t>
  </si>
  <si>
    <t>ZIMAPAN INVESTMENTS</t>
  </si>
  <si>
    <t>PETTY CASH</t>
  </si>
  <si>
    <t>C&amp;E STANBIC RAND - 0622075607001</t>
  </si>
  <si>
    <t>C&amp;E STANBIC US$ - 0240075607001</t>
  </si>
  <si>
    <t>US$ PETTY CASH</t>
  </si>
  <si>
    <t>RAND PETTY CASH</t>
  </si>
  <si>
    <t>CAPSTONE 665 (PTY) LTD</t>
  </si>
  <si>
    <t>TRIP SHEET ALLOCATION</t>
  </si>
  <si>
    <t>dymamic email</t>
  </si>
  <si>
    <t>SUBJECT</t>
  </si>
  <si>
    <t>BODY</t>
  </si>
  <si>
    <t>backupgary68@gmail.com</t>
  </si>
  <si>
    <t xml:space="preserve">C&amp;E Farming Summary Report as at:- </t>
  </si>
  <si>
    <t xml:space="preserve">SUMMARY REPORT SENT - </t>
  </si>
  <si>
    <t>SUMMARY REPORT</t>
  </si>
  <si>
    <t>AS AT:-</t>
  </si>
  <si>
    <t>TOTAL OF USD ACCOUNTS:-</t>
  </si>
  <si>
    <t>TOTAL OF RAND ACCOUNTS:-</t>
  </si>
  <si>
    <t>TOTAL CREDITORS:-</t>
  </si>
  <si>
    <t>DETAILED SCHEDULES OF THE SUMMARIES BELOW CAN BE VIEWED IN ADJACENT SHEETS</t>
  </si>
  <si>
    <t>TOTAL DEBTORS:-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</si>
</sst>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&quot;Z$&quot;#,##0.00_);[Red]\(&quot;Z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d/m/yyyy\ h:mm"/>
    <numFmt numFmtId="168" formatCode="0.0000"/>
    <numFmt numFmtId="169" formatCode="[$-409]d\-mmm\-yy;@"/>
    <numFmt numFmtId="170" formatCode="mmm"/>
    <numFmt numFmtId="171" formatCode="[$-3009]dd\-mmm\-yy;@"/>
    <numFmt numFmtId="172" formatCode="[$ZAR]\ #,##0.00_);[Red]\([$ZAR]\ #,##0.00\)"/>
    <numFmt numFmtId="173" formatCode="[$$-409]#,##0.00_);[Red]\([$$-409]#,##0.00\)"/>
    <numFmt numFmtId="174" formatCode="[$R-1C09]\ #,##0.00;[Red][$R-1C09]\ \-#,##0.00"/>
    <numFmt numFmtId="175" formatCode="[$R-1C09]\ #,##0.00"/>
    <numFmt numFmtId="176" formatCode="[$-409]dd\-mmm\-yy;@"/>
    <numFmt numFmtId="177" formatCode="0_);[Red]\(0\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166" fontId="2" fillId="0" borderId="0" applyFont="0" applyFill="0" applyBorder="0" applyAlignment="0" applyProtection="0"/>
    <xf numFmtId="0" fontId="3" fillId="0" borderId="0"/>
    <xf numFmtId="0" fontId="4" fillId="0" borderId="0" applyNumberFormat="0" applyFill="0" applyBorder="0" applyAlignment="0" applyProtection="0"/>
    <xf numFmtId="174" fontId="2" fillId="0" borderId="0"/>
    <xf numFmtId="0" fontId="5" fillId="0" borderId="0"/>
    <xf numFmtId="172" fontId="2" fillId="0" borderId="0"/>
  </cellStyleXfs>
  <cellXfs count="131">
    <xf numFmtId="0" fontId="0" fillId="0" borderId="0" xfId="0"/>
    <xf numFmtId="167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68" fontId="1" fillId="0" borderId="0" xfId="0" applyNumberFormat="1" applyFont="1" applyAlignment="1">
      <alignment horizontal="center"/>
    </xf>
    <xf numFmtId="168" fontId="0" fillId="0" borderId="0" xfId="0" applyNumberFormat="1" applyAlignment="1">
      <alignment horizontal="center"/>
    </xf>
    <xf numFmtId="169" fontId="0" fillId="0" borderId="0" xfId="0" applyNumberFormat="1"/>
    <xf numFmtId="0" fontId="0" fillId="0" borderId="0" xfId="0" applyFont="1" applyAlignment="1">
      <alignment horizontal="center"/>
    </xf>
    <xf numFmtId="165" fontId="0" fillId="0" borderId="0" xfId="0" applyNumberFormat="1"/>
    <xf numFmtId="17" fontId="0" fillId="0" borderId="0" xfId="0" applyNumberFormat="1"/>
    <xf numFmtId="170" fontId="0" fillId="0" borderId="0" xfId="0" applyNumberFormat="1"/>
    <xf numFmtId="0" fontId="0" fillId="0" borderId="0" xfId="0"/>
    <xf numFmtId="0" fontId="0" fillId="0" borderId="0" xfId="0"/>
    <xf numFmtId="0" fontId="1" fillId="0" borderId="0" xfId="0" applyFont="1" applyAlignment="1">
      <alignment horizontal="center"/>
    </xf>
    <xf numFmtId="165" fontId="0" fillId="0" borderId="0" xfId="0" applyNumberFormat="1"/>
    <xf numFmtId="0" fontId="0" fillId="0" borderId="0" xfId="0" applyFont="1"/>
    <xf numFmtId="165" fontId="0" fillId="0" borderId="0" xfId="1" applyNumberFormat="1" applyFont="1"/>
    <xf numFmtId="165" fontId="1" fillId="0" borderId="0" xfId="1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2" borderId="0" xfId="0" applyFill="1"/>
    <xf numFmtId="4" fontId="0" fillId="0" borderId="0" xfId="0" applyNumberFormat="1"/>
    <xf numFmtId="168" fontId="0" fillId="0" borderId="0" xfId="0" applyNumberFormat="1"/>
    <xf numFmtId="171" fontId="1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169" fontId="0" fillId="0" borderId="0" xfId="0" applyNumberFormat="1" applyAlignment="1">
      <alignment horizontal="left"/>
    </xf>
    <xf numFmtId="171" fontId="0" fillId="0" borderId="0" xfId="0" applyNumberFormat="1" applyAlignment="1">
      <alignment horizontal="center"/>
    </xf>
    <xf numFmtId="171" fontId="0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7" fontId="0" fillId="0" borderId="0" xfId="0" applyNumberFormat="1" applyFont="1" applyAlignment="1">
      <alignment horizontal="center"/>
    </xf>
    <xf numFmtId="0" fontId="4" fillId="0" borderId="0" xfId="3"/>
    <xf numFmtId="0" fontId="0" fillId="0" borderId="0" xfId="0" applyAlignment="1">
      <alignment horizontal="left"/>
    </xf>
    <xf numFmtId="38" fontId="1" fillId="0" borderId="0" xfId="0" applyNumberFormat="1" applyFont="1" applyAlignment="1">
      <alignment horizontal="center"/>
    </xf>
    <xf numFmtId="3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38" fontId="0" fillId="0" borderId="0" xfId="0" applyNumberFormat="1" applyFont="1" applyAlignment="1">
      <alignment horizontal="center"/>
    </xf>
    <xf numFmtId="171" fontId="1" fillId="0" borderId="0" xfId="4" applyNumberFormat="1" applyFont="1" applyAlignment="1">
      <alignment horizontal="center" wrapText="1"/>
    </xf>
    <xf numFmtId="0" fontId="1" fillId="0" borderId="0" xfId="4" applyNumberFormat="1" applyFont="1" applyAlignment="1">
      <alignment horizontal="center" wrapText="1"/>
    </xf>
    <xf numFmtId="0" fontId="1" fillId="0" borderId="0" xfId="1" applyNumberFormat="1" applyFont="1" applyAlignment="1">
      <alignment horizontal="center" wrapText="1"/>
    </xf>
    <xf numFmtId="175" fontId="1" fillId="0" borderId="0" xfId="4" applyNumberFormat="1" applyFont="1" applyAlignment="1">
      <alignment horizontal="center" wrapText="1"/>
    </xf>
    <xf numFmtId="171" fontId="2" fillId="0" borderId="0" xfId="4" applyNumberFormat="1" applyAlignment="1">
      <alignment horizontal="center"/>
    </xf>
    <xf numFmtId="0" fontId="2" fillId="0" borderId="0" xfId="4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0" fontId="2" fillId="0" borderId="0" xfId="4" applyNumberFormat="1" applyAlignment="1">
      <alignment horizontal="left"/>
    </xf>
    <xf numFmtId="175" fontId="2" fillId="0" borderId="0" xfId="4" applyNumberFormat="1"/>
    <xf numFmtId="0" fontId="2" fillId="0" borderId="0" xfId="4" applyNumberFormat="1"/>
    <xf numFmtId="0" fontId="0" fillId="0" borderId="0" xfId="4" applyNumberFormat="1" applyFont="1" applyAlignment="1">
      <alignment horizontal="center"/>
    </xf>
    <xf numFmtId="0" fontId="0" fillId="0" borderId="0" xfId="4" applyNumberFormat="1" applyFont="1" applyAlignment="1">
      <alignment horizontal="left"/>
    </xf>
    <xf numFmtId="171" fontId="0" fillId="0" borderId="0" xfId="4" applyNumberFormat="1" applyFont="1" applyAlignment="1">
      <alignment horizontal="center"/>
    </xf>
    <xf numFmtId="2" fontId="0" fillId="0" borderId="0" xfId="4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73" fontId="0" fillId="0" borderId="0" xfId="0" applyNumberFormat="1"/>
    <xf numFmtId="172" fontId="0" fillId="0" borderId="0" xfId="0" applyNumberFormat="1"/>
    <xf numFmtId="176" fontId="0" fillId="0" borderId="0" xfId="0" applyNumberFormat="1" applyFont="1" applyAlignment="1">
      <alignment horizontal="center"/>
    </xf>
    <xf numFmtId="169" fontId="6" fillId="0" borderId="0" xfId="5" applyNumberFormat="1" applyFont="1" applyAlignment="1">
      <alignment horizontal="center"/>
    </xf>
    <xf numFmtId="0" fontId="6" fillId="0" borderId="0" xfId="5" applyNumberFormat="1" applyFont="1" applyAlignment="1">
      <alignment horizontal="center"/>
    </xf>
    <xf numFmtId="0" fontId="6" fillId="0" borderId="0" xfId="5" applyFont="1" applyAlignment="1">
      <alignment horizontal="center"/>
    </xf>
    <xf numFmtId="165" fontId="6" fillId="0" borderId="0" xfId="5" applyNumberFormat="1" applyFont="1" applyAlignment="1">
      <alignment horizontal="center"/>
    </xf>
    <xf numFmtId="169" fontId="5" fillId="0" borderId="0" xfId="5" applyNumberFormat="1" applyAlignment="1">
      <alignment horizontal="center"/>
    </xf>
    <xf numFmtId="0" fontId="5" fillId="0" borderId="0" xfId="5" applyNumberFormat="1" applyAlignment="1">
      <alignment horizontal="center"/>
    </xf>
    <xf numFmtId="0" fontId="5" fillId="0" borderId="0" xfId="5"/>
    <xf numFmtId="0" fontId="5" fillId="0" borderId="0" xfId="5" applyAlignment="1">
      <alignment horizontal="center"/>
    </xf>
    <xf numFmtId="165" fontId="5" fillId="0" borderId="0" xfId="5" applyNumberFormat="1"/>
    <xf numFmtId="0" fontId="3" fillId="0" borderId="0" xfId="5" applyNumberFormat="1" applyFont="1" applyAlignment="1">
      <alignment horizontal="center"/>
    </xf>
    <xf numFmtId="176" fontId="1" fillId="0" borderId="0" xfId="0" applyNumberFormat="1" applyFont="1" applyAlignment="1">
      <alignment horizontal="center" wrapText="1"/>
    </xf>
    <xf numFmtId="3" fontId="1" fillId="0" borderId="0" xfId="0" applyNumberFormat="1" applyFont="1" applyAlignment="1">
      <alignment horizontal="center" wrapText="1"/>
    </xf>
    <xf numFmtId="173" fontId="1" fillId="0" borderId="0" xfId="0" applyNumberFormat="1" applyFont="1" applyAlignment="1">
      <alignment horizontal="center" wrapText="1"/>
    </xf>
    <xf numFmtId="172" fontId="1" fillId="0" borderId="0" xfId="0" applyNumberFormat="1" applyFont="1" applyAlignment="1">
      <alignment horizontal="center" wrapText="1"/>
    </xf>
    <xf numFmtId="0" fontId="1" fillId="0" borderId="0" xfId="0" applyFont="1" applyAlignment="1">
      <alignment wrapText="1"/>
    </xf>
    <xf numFmtId="171" fontId="1" fillId="0" borderId="0" xfId="6" applyNumberFormat="1" applyFont="1" applyAlignment="1">
      <alignment horizontal="center"/>
    </xf>
    <xf numFmtId="177" fontId="1" fillId="0" borderId="0" xfId="6" applyNumberFormat="1" applyFont="1" applyAlignment="1">
      <alignment horizontal="center"/>
    </xf>
    <xf numFmtId="172" fontId="1" fillId="0" borderId="0" xfId="6" applyFont="1"/>
    <xf numFmtId="171" fontId="2" fillId="0" borderId="0" xfId="6" applyNumberFormat="1" applyAlignment="1">
      <alignment horizontal="center"/>
    </xf>
    <xf numFmtId="177" fontId="2" fillId="0" borderId="0" xfId="6" applyNumberFormat="1"/>
    <xf numFmtId="172" fontId="2" fillId="0" borderId="0" xfId="6"/>
    <xf numFmtId="172" fontId="1" fillId="0" borderId="0" xfId="6" applyFont="1" applyAlignment="1">
      <alignment horizontal="center"/>
    </xf>
    <xf numFmtId="172" fontId="1" fillId="0" borderId="0" xfId="6" applyNumberFormat="1" applyFont="1" applyAlignment="1">
      <alignment horizontal="center"/>
    </xf>
    <xf numFmtId="172" fontId="2" fillId="0" borderId="0" xfId="6" applyNumberFormat="1"/>
    <xf numFmtId="0" fontId="0" fillId="0" borderId="0" xfId="0" applyNumberFormat="1"/>
    <xf numFmtId="164" fontId="0" fillId="0" borderId="0" xfId="0" applyNumberFormat="1" applyFont="1" applyAlignment="1">
      <alignment horizontal="center"/>
    </xf>
    <xf numFmtId="173" fontId="0" fillId="0" borderId="0" xfId="0" applyNumberFormat="1" applyFont="1" applyAlignment="1">
      <alignment horizontal="center"/>
    </xf>
    <xf numFmtId="173" fontId="0" fillId="0" borderId="0" xfId="0" applyNumberFormat="1" applyFont="1" applyAlignment="1">
      <alignment horizontal="right"/>
    </xf>
    <xf numFmtId="172" fontId="1" fillId="0" borderId="0" xfId="0" applyNumberFormat="1" applyFont="1" applyAlignment="1">
      <alignment horizontal="right"/>
    </xf>
    <xf numFmtId="173" fontId="1" fillId="0" borderId="0" xfId="0" applyNumberFormat="1" applyFont="1" applyAlignment="1">
      <alignment horizontal="right"/>
    </xf>
    <xf numFmtId="0" fontId="1" fillId="0" borderId="0" xfId="0" applyNumberFormat="1" applyFont="1" applyAlignment="1">
      <alignment horizontal="right"/>
    </xf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ont="1" applyAlignment="1">
      <alignment horizontal="right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72" fontId="0" fillId="0" borderId="0" xfId="0" applyNumberFormat="1" applyFont="1" applyAlignment="1">
      <alignment horizontal="right"/>
    </xf>
    <xf numFmtId="0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center"/>
    </xf>
    <xf numFmtId="0" fontId="0" fillId="3" borderId="0" xfId="0" applyNumberFormat="1" applyFont="1" applyFill="1" applyAlignment="1">
      <alignment horizontal="left"/>
    </xf>
    <xf numFmtId="173" fontId="0" fillId="3" borderId="0" xfId="0" applyNumberFormat="1" applyFont="1" applyFill="1" applyAlignment="1">
      <alignment horizontal="center"/>
    </xf>
    <xf numFmtId="0" fontId="0" fillId="3" borderId="0" xfId="0" applyNumberFormat="1" applyFill="1" applyAlignment="1">
      <alignment horizontal="left"/>
    </xf>
    <xf numFmtId="0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176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5" fontId="0" fillId="0" borderId="0" xfId="1" applyNumberFormat="1" applyFont="1" applyFill="1" applyBorder="1"/>
    <xf numFmtId="165" fontId="0" fillId="0" borderId="0" xfId="1" applyNumberFormat="1" applyFont="1" applyFill="1" applyBorder="1" applyAlignment="1">
      <alignment horizontal="center"/>
    </xf>
    <xf numFmtId="0" fontId="1" fillId="0" borderId="0" xfId="0" applyFont="1" applyFill="1" applyBorder="1"/>
    <xf numFmtId="0" fontId="0" fillId="0" borderId="0" xfId="0" applyFill="1" applyBorder="1"/>
    <xf numFmtId="176" fontId="1" fillId="0" borderId="0" xfId="0" applyNumberFormat="1" applyFont="1" applyAlignment="1">
      <alignment horizontal="center"/>
    </xf>
    <xf numFmtId="0" fontId="0" fillId="0" borderId="1" xfId="0" applyFill="1" applyBorder="1" applyAlignment="1">
      <alignment horizontal="center"/>
    </xf>
    <xf numFmtId="176" fontId="0" fillId="0" borderId="2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0" fillId="2" borderId="2" xfId="1" applyNumberFormat="1" applyFont="1" applyFill="1" applyBorder="1"/>
    <xf numFmtId="165" fontId="0" fillId="0" borderId="2" xfId="1" applyNumberFormat="1" applyFont="1" applyFill="1" applyBorder="1" applyAlignment="1">
      <alignment horizontal="center"/>
    </xf>
    <xf numFmtId="165" fontId="0" fillId="0" borderId="2" xfId="1" applyNumberFormat="1" applyFont="1" applyFill="1" applyBorder="1"/>
    <xf numFmtId="0" fontId="0" fillId="0" borderId="3" xfId="0" applyFill="1" applyBorder="1" applyAlignment="1">
      <alignment horizontal="center"/>
    </xf>
    <xf numFmtId="176" fontId="0" fillId="0" borderId="4" xfId="0" applyNumberFormat="1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65" fontId="0" fillId="2" borderId="4" xfId="1" applyNumberFormat="1" applyFont="1" applyFill="1" applyBorder="1"/>
    <xf numFmtId="165" fontId="0" fillId="0" borderId="4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0" fontId="0" fillId="0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165" fontId="0" fillId="2" borderId="0" xfId="1" applyNumberFormat="1" applyFont="1" applyFill="1" applyBorder="1"/>
    <xf numFmtId="0" fontId="0" fillId="2" borderId="4" xfId="0" applyFill="1" applyBorder="1" applyAlignment="1">
      <alignment horizontal="center"/>
    </xf>
    <xf numFmtId="3" fontId="1" fillId="0" borderId="0" xfId="0" applyNumberFormat="1" applyFont="1" applyAlignment="1">
      <alignment horizontal="center"/>
    </xf>
    <xf numFmtId="173" fontId="1" fillId="0" borderId="0" xfId="0" applyNumberFormat="1" applyFont="1" applyAlignment="1">
      <alignment horizontal="center"/>
    </xf>
    <xf numFmtId="172" fontId="1" fillId="0" borderId="0" xfId="0" applyNumberFormat="1" applyFont="1" applyAlignment="1">
      <alignment horizontal="center"/>
    </xf>
    <xf numFmtId="4" fontId="1" fillId="0" borderId="0" xfId="0" applyNumberFormat="1" applyFont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7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1" fillId="0" borderId="0" xfId="1" applyNumberFormat="1" applyFont="1" applyAlignment="1">
      <alignment horizontal="center"/>
    </xf>
  </cellXfs>
  <cellStyles count="7">
    <cellStyle name="Currency" xfId="1" builtinId="4"/>
    <cellStyle name="Hyperlink" xfId="3" builtinId="8"/>
    <cellStyle name="Normal" xfId="0" builtinId="0"/>
    <cellStyle name="Normal 2" xfId="2"/>
    <cellStyle name="Normal 3" xfId="4"/>
    <cellStyle name="Normal 4" xfId="5"/>
    <cellStyle name="Normal 5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backupgary68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mellis@mweb.co.za" TargetMode="External"/><Relationship Id="rId1" Type="http://schemas.openxmlformats.org/officeDocument/2006/relationships/hyperlink" Target="mailto:backupgary68@gmail.com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C12" sqref="C12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3"/>
  <sheetViews>
    <sheetView topLeftCell="C17" workbookViewId="0">
      <selection activeCell="B1" sqref="B1"/>
    </sheetView>
  </sheetViews>
  <sheetFormatPr defaultRowHeight="15" x14ac:dyDescent="0.25"/>
  <cols>
    <col min="1" max="1" width="24.5703125" customWidth="1"/>
    <col min="2" max="2" width="30.7109375" customWidth="1"/>
    <col min="3" max="3" width="24" customWidth="1"/>
    <col min="4" max="4" width="37" customWidth="1"/>
    <col min="5" max="5" width="11.140625" customWidth="1"/>
    <col min="6" max="6" width="27.7109375" bestFit="1" customWidth="1"/>
    <col min="10" max="10" width="13.140625" bestFit="1" customWidth="1"/>
    <col min="11" max="11" width="26.7109375" bestFit="1" customWidth="1"/>
  </cols>
  <sheetData>
    <row r="1" spans="1:7" x14ac:dyDescent="0.25">
      <c r="A1" t="s">
        <v>0</v>
      </c>
      <c r="B1" s="1">
        <f ca="1">NOW()</f>
        <v>42482.630282754631</v>
      </c>
      <c r="C1" t="s">
        <v>23</v>
      </c>
      <c r="D1" s="10">
        <f ca="1">G1-30</f>
        <v>42452</v>
      </c>
      <c r="E1" s="3" t="str">
        <f ca="1">TEXT(D1,"MMM")</f>
        <v>Mar</v>
      </c>
      <c r="F1" t="str">
        <f ca="1">E1&amp;" "&amp;E2&amp;C1&amp;E3</f>
        <v>Mar 16 - Overhead Amounts.xlsx</v>
      </c>
      <c r="G1" s="10">
        <f ca="1">TODAY()</f>
        <v>42482</v>
      </c>
    </row>
    <row r="2" spans="1:7" x14ac:dyDescent="0.25">
      <c r="E2" s="3" t="str">
        <f ca="1">TEXT(D1,"YY")</f>
        <v>16</v>
      </c>
      <c r="F2" t="str">
        <f ca="1">E1&amp;" "&amp;E2&amp;" Overheads"&amp;C2</f>
        <v>Mar 16 Overheads</v>
      </c>
    </row>
    <row r="3" spans="1:7" x14ac:dyDescent="0.25">
      <c r="C3" s="3"/>
      <c r="E3" t="s">
        <v>24</v>
      </c>
    </row>
    <row r="4" spans="1:7" x14ac:dyDescent="0.25">
      <c r="C4" s="3"/>
      <c r="D4" s="3"/>
    </row>
    <row r="5" spans="1:7" x14ac:dyDescent="0.25">
      <c r="A5" t="s">
        <v>101</v>
      </c>
      <c r="B5" s="29" t="s">
        <v>104</v>
      </c>
      <c r="F5" s="11"/>
    </row>
    <row r="6" spans="1:7" x14ac:dyDescent="0.25">
      <c r="F6" s="12"/>
    </row>
    <row r="8" spans="1:7" x14ac:dyDescent="0.25">
      <c r="B8" s="6"/>
    </row>
    <row r="10" spans="1:7" x14ac:dyDescent="0.25">
      <c r="B10" s="9"/>
    </row>
    <row r="11" spans="1:7" x14ac:dyDescent="0.25">
      <c r="B11" s="8"/>
    </row>
    <row r="14" spans="1:7" x14ac:dyDescent="0.25">
      <c r="B14" s="3"/>
    </row>
    <row r="15" spans="1:7" x14ac:dyDescent="0.25">
      <c r="A15" s="12"/>
      <c r="B15" s="12"/>
      <c r="C15" s="12"/>
      <c r="D15" s="12"/>
    </row>
    <row r="16" spans="1:7" x14ac:dyDescent="0.25">
      <c r="B16" s="6"/>
    </row>
    <row r="18" spans="1:11" x14ac:dyDescent="0.25">
      <c r="C18" s="127"/>
      <c r="D18" s="127"/>
    </row>
    <row r="19" spans="1:11" x14ac:dyDescent="0.25">
      <c r="B19" s="8"/>
      <c r="D19" s="14"/>
    </row>
    <row r="20" spans="1:11" x14ac:dyDescent="0.25">
      <c r="J20" s="12"/>
    </row>
    <row r="21" spans="1:11" x14ac:dyDescent="0.25">
      <c r="J21" s="98"/>
      <c r="K21" s="78"/>
    </row>
    <row r="22" spans="1:11" x14ac:dyDescent="0.25">
      <c r="A22" s="12"/>
      <c r="J22" s="98"/>
      <c r="K22" s="78"/>
    </row>
    <row r="23" spans="1:11" x14ac:dyDescent="0.25">
      <c r="J23" s="98"/>
      <c r="K23" s="78"/>
    </row>
    <row r="24" spans="1:11" x14ac:dyDescent="0.25">
      <c r="J24" s="98"/>
      <c r="K24" s="78"/>
    </row>
    <row r="25" spans="1:11" x14ac:dyDescent="0.25">
      <c r="A25" t="s">
        <v>4</v>
      </c>
      <c r="B25" s="16"/>
      <c r="C25" s="12" t="s">
        <v>27</v>
      </c>
      <c r="D25" s="12"/>
      <c r="J25" s="98"/>
      <c r="K25" s="78"/>
    </row>
    <row r="26" spans="1:11" x14ac:dyDescent="0.25">
      <c r="A26" t="s">
        <v>5</v>
      </c>
      <c r="B26" s="8">
        <f>B11+B25</f>
        <v>0</v>
      </c>
      <c r="C26" s="12" t="s">
        <v>28</v>
      </c>
      <c r="D26" s="14">
        <f>B19+D25</f>
        <v>0</v>
      </c>
      <c r="J26" s="98"/>
      <c r="K26" s="78"/>
    </row>
    <row r="27" spans="1:11" x14ac:dyDescent="0.25">
      <c r="A27" t="s">
        <v>48</v>
      </c>
      <c r="B27" s="12"/>
      <c r="C27" s="12"/>
      <c r="D27" s="14"/>
      <c r="J27" s="98"/>
      <c r="K27" s="78"/>
    </row>
    <row r="28" spans="1:11" x14ac:dyDescent="0.25">
      <c r="J28" s="98"/>
      <c r="K28" s="78"/>
    </row>
    <row r="29" spans="1:11" x14ac:dyDescent="0.25">
      <c r="A29" t="s">
        <v>9</v>
      </c>
      <c r="B29" s="2" t="s">
        <v>6</v>
      </c>
      <c r="J29" s="98"/>
      <c r="K29" s="78"/>
    </row>
    <row r="30" spans="1:11" x14ac:dyDescent="0.25">
      <c r="A30" t="s">
        <v>7</v>
      </c>
      <c r="B30">
        <f>SUM(C31:G31)</f>
        <v>0</v>
      </c>
      <c r="C30" t="b">
        <v>0</v>
      </c>
      <c r="D30" t="b">
        <v>0</v>
      </c>
      <c r="E30" t="b">
        <v>0</v>
      </c>
      <c r="F30" t="b">
        <v>0</v>
      </c>
      <c r="G30" t="b">
        <v>0</v>
      </c>
      <c r="J30" s="98"/>
      <c r="K30" s="78"/>
    </row>
    <row r="31" spans="1:11" x14ac:dyDescent="0.25">
      <c r="A31" t="s">
        <v>8</v>
      </c>
      <c r="B31" t="str">
        <f>IF(C30=TRUE,"CLIVE",IF(D30=TRUE,"JASON",IF(E30=TRUE,"CHRISTINE",IF(F30=TRUE,"SAVANNAH",IF(G30=TRUE,B33,"")))))</f>
        <v/>
      </c>
      <c r="C31" t="str">
        <f>IF(C30=TRUE,1,"")</f>
        <v/>
      </c>
      <c r="D31" t="str">
        <f>IF(D30=TRUE,1,"")</f>
        <v/>
      </c>
      <c r="E31" t="str">
        <f>IF(E30=TRUE,1,"")</f>
        <v/>
      </c>
      <c r="F31" t="str">
        <f t="shared" ref="F31:G31" si="0">IF(F30=TRUE,1,"")</f>
        <v/>
      </c>
      <c r="G31" t="str">
        <f t="shared" si="0"/>
        <v/>
      </c>
      <c r="J31" s="98"/>
      <c r="K31" s="78"/>
    </row>
    <row r="32" spans="1:11" x14ac:dyDescent="0.25">
      <c r="J32" s="98"/>
      <c r="K32" s="78"/>
    </row>
    <row r="33" spans="1:5" x14ac:dyDescent="0.25">
      <c r="A33" t="s">
        <v>10</v>
      </c>
    </row>
    <row r="34" spans="1:5" x14ac:dyDescent="0.25">
      <c r="A34" t="s">
        <v>22</v>
      </c>
      <c r="B34" s="8">
        <v>17048.36</v>
      </c>
    </row>
    <row r="35" spans="1:5" x14ac:dyDescent="0.25">
      <c r="A35" t="s">
        <v>11</v>
      </c>
    </row>
    <row r="36" spans="1:5" x14ac:dyDescent="0.25">
      <c r="A36" t="s">
        <v>12</v>
      </c>
      <c r="B36" s="7"/>
      <c r="C36" t="s">
        <v>1</v>
      </c>
      <c r="D36" t="str">
        <f>B36&amp;C36</f>
        <v>.xlsm</v>
      </c>
    </row>
    <row r="37" spans="1:5" x14ac:dyDescent="0.25">
      <c r="A37" t="s">
        <v>14</v>
      </c>
    </row>
    <row r="39" spans="1:5" x14ac:dyDescent="0.25">
      <c r="B39" t="s">
        <v>13</v>
      </c>
    </row>
    <row r="40" spans="1:5" x14ac:dyDescent="0.25">
      <c r="A40" t="s">
        <v>4</v>
      </c>
      <c r="B40" s="14"/>
    </row>
    <row r="41" spans="1:5" x14ac:dyDescent="0.25">
      <c r="A41" t="s">
        <v>5</v>
      </c>
      <c r="B41" s="8">
        <f>B37+B40</f>
        <v>0</v>
      </c>
    </row>
    <row r="44" spans="1:5" x14ac:dyDescent="0.25">
      <c r="A44" t="s">
        <v>15</v>
      </c>
      <c r="C44" t="s">
        <v>1</v>
      </c>
      <c r="D44" t="str">
        <f>B44&amp;C44</f>
        <v>.xlsm</v>
      </c>
      <c r="E44" s="12" t="s">
        <v>36</v>
      </c>
    </row>
    <row r="45" spans="1:5" x14ac:dyDescent="0.25">
      <c r="A45" t="s">
        <v>16</v>
      </c>
      <c r="C45" t="s">
        <v>1</v>
      </c>
      <c r="D45" t="str">
        <f>B45&amp;C45</f>
        <v>.xlsm</v>
      </c>
      <c r="E45" s="12" t="s">
        <v>35</v>
      </c>
    </row>
    <row r="46" spans="1:5" x14ac:dyDescent="0.25">
      <c r="A46" t="s">
        <v>17</v>
      </c>
    </row>
    <row r="47" spans="1:5" x14ac:dyDescent="0.25">
      <c r="A47" s="19" t="s">
        <v>37</v>
      </c>
      <c r="B47" s="20"/>
      <c r="C47" t="b">
        <f>ISNUMBER(B47)</f>
        <v>0</v>
      </c>
    </row>
    <row r="48" spans="1:5" x14ac:dyDescent="0.25">
      <c r="A48" t="s">
        <v>18</v>
      </c>
    </row>
    <row r="49" spans="1:4" x14ac:dyDescent="0.25">
      <c r="A49" t="s">
        <v>19</v>
      </c>
      <c r="B49" s="6">
        <v>42374</v>
      </c>
    </row>
    <row r="50" spans="1:4" x14ac:dyDescent="0.25">
      <c r="A50" t="s">
        <v>39</v>
      </c>
      <c r="B50" s="21">
        <v>15.67</v>
      </c>
      <c r="C50" s="12" t="b">
        <f>ISNUMBER(B50)</f>
        <v>1</v>
      </c>
    </row>
    <row r="51" spans="1:4" x14ac:dyDescent="0.25">
      <c r="B51" s="20">
        <f>B50*B47</f>
        <v>0</v>
      </c>
    </row>
    <row r="52" spans="1:4" x14ac:dyDescent="0.25">
      <c r="A52" s="19" t="s">
        <v>38</v>
      </c>
      <c r="B52" s="20">
        <f>IF(E44=E45,B47,B51)</f>
        <v>0</v>
      </c>
      <c r="D52" s="12" t="s">
        <v>1</v>
      </c>
    </row>
    <row r="53" spans="1:4" x14ac:dyDescent="0.25">
      <c r="A53" t="s">
        <v>20</v>
      </c>
      <c r="B53" t="s">
        <v>97</v>
      </c>
      <c r="C53" t="s">
        <v>36</v>
      </c>
      <c r="D53" t="str">
        <f>B53&amp;D52</f>
        <v>US$ PETTY CASH.xlsm</v>
      </c>
    </row>
    <row r="54" spans="1:4" x14ac:dyDescent="0.25">
      <c r="A54" t="s">
        <v>21</v>
      </c>
      <c r="B54" t="str">
        <f>B53</f>
        <v>US$ PETTY CASH</v>
      </c>
      <c r="C54">
        <v>20430</v>
      </c>
    </row>
    <row r="56" spans="1:4" x14ac:dyDescent="0.25">
      <c r="A56" t="s">
        <v>25</v>
      </c>
    </row>
    <row r="57" spans="1:4" x14ac:dyDescent="0.25">
      <c r="A57" t="s">
        <v>26</v>
      </c>
      <c r="B57" t="b">
        <v>1</v>
      </c>
    </row>
    <row r="59" spans="1:4" x14ac:dyDescent="0.25">
      <c r="A59" t="s">
        <v>49</v>
      </c>
    </row>
    <row r="87" spans="1:4" x14ac:dyDescent="0.25">
      <c r="A87" t="s">
        <v>33</v>
      </c>
      <c r="B87" t="b">
        <v>0</v>
      </c>
      <c r="C87">
        <f>IF(B87=TRUE,1,0)</f>
        <v>0</v>
      </c>
    </row>
    <row r="88" spans="1:4" x14ac:dyDescent="0.25">
      <c r="A88" s="12" t="s">
        <v>32</v>
      </c>
      <c r="B88" t="b">
        <v>1</v>
      </c>
      <c r="C88" s="12">
        <f>IF(B88=TRUE,1,0)</f>
        <v>1</v>
      </c>
    </row>
    <row r="89" spans="1:4" x14ac:dyDescent="0.25">
      <c r="B89" t="str">
        <f>IF(B87=TRUE,"USD",IF(B88=TRUE,"RAND"))</f>
        <v>RAND</v>
      </c>
      <c r="C89">
        <f>SUM(C87:C88)</f>
        <v>1</v>
      </c>
    </row>
    <row r="90" spans="1:4" x14ac:dyDescent="0.25">
      <c r="B90" s="12"/>
      <c r="C90" s="12"/>
      <c r="D90" s="12"/>
    </row>
    <row r="91" spans="1:4" x14ac:dyDescent="0.25">
      <c r="A91" s="12" t="s">
        <v>30</v>
      </c>
      <c r="B91" s="12" t="s">
        <v>98</v>
      </c>
      <c r="C91" s="12" t="str">
        <f>UPPER(B91)</f>
        <v>RAND PETTY CASH</v>
      </c>
      <c r="D91" s="12"/>
    </row>
    <row r="92" spans="1:4" x14ac:dyDescent="0.25">
      <c r="A92" s="12" t="s">
        <v>2</v>
      </c>
      <c r="B92" s="12" t="str">
        <f>UPPER(B91)</f>
        <v>RAND PETTY CASH</v>
      </c>
      <c r="C92" s="12" t="s">
        <v>1</v>
      </c>
      <c r="D92" s="12" t="str">
        <f>B92&amp;C92</f>
        <v>RAND PETTY CASH.xlsm</v>
      </c>
    </row>
    <row r="93" spans="1:4" x14ac:dyDescent="0.25">
      <c r="A93" s="12" t="s">
        <v>31</v>
      </c>
      <c r="B93" s="12"/>
      <c r="C93" s="12"/>
      <c r="D93" s="12"/>
    </row>
  </sheetData>
  <mergeCells count="1">
    <mergeCell ref="C18:D18"/>
  </mergeCells>
  <hyperlinks>
    <hyperlink ref="B5" r:id="rId1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45"/>
  <sheetViews>
    <sheetView workbookViewId="0">
      <selection activeCell="B1" sqref="B1"/>
    </sheetView>
  </sheetViews>
  <sheetFormatPr defaultRowHeight="15" x14ac:dyDescent="0.25"/>
  <cols>
    <col min="1" max="1" width="32.7109375" style="12" bestFit="1" customWidth="1"/>
    <col min="2" max="2" width="46.5703125" style="12" customWidth="1"/>
    <col min="3" max="3" width="9.140625" style="12"/>
    <col min="4" max="4" width="40.7109375" style="12" bestFit="1" customWidth="1"/>
    <col min="5" max="5" width="77.28515625" style="12" customWidth="1"/>
    <col min="6" max="8" width="9.140625" style="12"/>
    <col min="9" max="9" width="20.140625" style="12" bestFit="1" customWidth="1"/>
    <col min="10" max="16384" width="9.140625" style="12"/>
  </cols>
  <sheetData>
    <row r="1" spans="1:5" x14ac:dyDescent="0.25">
      <c r="A1" s="13" t="s">
        <v>107</v>
      </c>
      <c r="B1" s="28">
        <f ca="1">NOW()</f>
        <v>42482.630282754631</v>
      </c>
      <c r="D1" s="13" t="s">
        <v>102</v>
      </c>
      <c r="E1" s="13" t="s">
        <v>103</v>
      </c>
    </row>
    <row r="2" spans="1:5" x14ac:dyDescent="0.25">
      <c r="A2" s="29" t="s">
        <v>104</v>
      </c>
      <c r="B2" s="12" t="str">
        <f ca="1">TEXT(B1,"d mmm yyyy - hh:mm")</f>
        <v>22 Apr 2016 - 15:07</v>
      </c>
      <c r="D2" s="12" t="str">
        <f ca="1">B4&amp;B2</f>
        <v>SUMMARY REPORT SENT - 22 Apr 2016 - 15:07</v>
      </c>
      <c r="E2" s="12" t="str">
        <f ca="1">B3&amp;B2</f>
        <v>C&amp;E Farming Summary Report as at:- 22 Apr 2016 - 15:07</v>
      </c>
    </row>
    <row r="3" spans="1:5" x14ac:dyDescent="0.25">
      <c r="A3" s="29"/>
      <c r="B3" s="12" t="s">
        <v>105</v>
      </c>
    </row>
    <row r="4" spans="1:5" x14ac:dyDescent="0.25">
      <c r="A4" s="29"/>
      <c r="B4" s="12" t="s">
        <v>106</v>
      </c>
    </row>
    <row r="5" spans="1:5" x14ac:dyDescent="0.25">
      <c r="B5" s="29"/>
    </row>
    <row r="6" spans="1:5" x14ac:dyDescent="0.25">
      <c r="B6" s="29"/>
    </row>
    <row r="7" spans="1:5" x14ac:dyDescent="0.25">
      <c r="B7" s="29"/>
    </row>
    <row r="8" spans="1:5" x14ac:dyDescent="0.25">
      <c r="B8" s="29"/>
    </row>
    <row r="9" spans="1:5" x14ac:dyDescent="0.25">
      <c r="B9" s="29"/>
    </row>
    <row r="10" spans="1:5" x14ac:dyDescent="0.25">
      <c r="B10" s="29"/>
    </row>
    <row r="11" spans="1:5" x14ac:dyDescent="0.25">
      <c r="B11" s="29"/>
    </row>
    <row r="12" spans="1:5" x14ac:dyDescent="0.25">
      <c r="B12" s="29"/>
    </row>
    <row r="13" spans="1:5" x14ac:dyDescent="0.25">
      <c r="B13" s="29"/>
    </row>
    <row r="14" spans="1:5" x14ac:dyDescent="0.25">
      <c r="B14" s="29"/>
    </row>
    <row r="15" spans="1:5" x14ac:dyDescent="0.25">
      <c r="B15" s="29"/>
    </row>
    <row r="16" spans="1:5" x14ac:dyDescent="0.25">
      <c r="B16" s="29"/>
    </row>
    <row r="17" spans="2:2" x14ac:dyDescent="0.25">
      <c r="B17" s="29"/>
    </row>
    <row r="18" spans="2:2" x14ac:dyDescent="0.25">
      <c r="B18" s="29"/>
    </row>
    <row r="19" spans="2:2" x14ac:dyDescent="0.25">
      <c r="B19" s="29"/>
    </row>
    <row r="20" spans="2:2" x14ac:dyDescent="0.25">
      <c r="B20" s="29"/>
    </row>
    <row r="21" spans="2:2" x14ac:dyDescent="0.25">
      <c r="B21" s="29"/>
    </row>
    <row r="22" spans="2:2" x14ac:dyDescent="0.25">
      <c r="B22" s="29"/>
    </row>
    <row r="23" spans="2:2" x14ac:dyDescent="0.25">
      <c r="B23" s="29"/>
    </row>
    <row r="24" spans="2:2" x14ac:dyDescent="0.25">
      <c r="B24" s="29"/>
    </row>
    <row r="25" spans="2:2" x14ac:dyDescent="0.25">
      <c r="B25" s="29"/>
    </row>
    <row r="26" spans="2:2" x14ac:dyDescent="0.25">
      <c r="B26" s="29"/>
    </row>
    <row r="27" spans="2:2" x14ac:dyDescent="0.25">
      <c r="B27" s="29"/>
    </row>
    <row r="28" spans="2:2" x14ac:dyDescent="0.25">
      <c r="B28" s="29"/>
    </row>
    <row r="29" spans="2:2" x14ac:dyDescent="0.25">
      <c r="B29" s="29"/>
    </row>
    <row r="30" spans="2:2" x14ac:dyDescent="0.25">
      <c r="B30" s="29"/>
    </row>
    <row r="31" spans="2:2" x14ac:dyDescent="0.25">
      <c r="B31" s="29"/>
    </row>
    <row r="32" spans="2:2" x14ac:dyDescent="0.25">
      <c r="B32" s="29"/>
    </row>
    <row r="33" spans="2:2" x14ac:dyDescent="0.25">
      <c r="B33" s="29"/>
    </row>
    <row r="34" spans="2:2" x14ac:dyDescent="0.25">
      <c r="B34" s="29"/>
    </row>
    <row r="35" spans="2:2" x14ac:dyDescent="0.25">
      <c r="B35" s="29"/>
    </row>
    <row r="36" spans="2:2" x14ac:dyDescent="0.25">
      <c r="B36" s="29"/>
    </row>
    <row r="37" spans="2:2" x14ac:dyDescent="0.25">
      <c r="B37" s="29"/>
    </row>
    <row r="38" spans="2:2" x14ac:dyDescent="0.25">
      <c r="B38" s="29"/>
    </row>
    <row r="39" spans="2:2" x14ac:dyDescent="0.25">
      <c r="B39" s="29"/>
    </row>
    <row r="40" spans="2:2" x14ac:dyDescent="0.25">
      <c r="B40" s="29"/>
    </row>
    <row r="41" spans="2:2" x14ac:dyDescent="0.25">
      <c r="B41" s="29"/>
    </row>
    <row r="42" spans="2:2" x14ac:dyDescent="0.25">
      <c r="B42" s="29"/>
    </row>
    <row r="43" spans="2:2" x14ac:dyDescent="0.25">
      <c r="B43" s="29"/>
    </row>
    <row r="44" spans="2:2" x14ac:dyDescent="0.25">
      <c r="B44" s="29"/>
    </row>
    <row r="45" spans="2:2" x14ac:dyDescent="0.25">
      <c r="B45" s="29"/>
    </row>
  </sheetData>
  <hyperlinks>
    <hyperlink ref="A2" r:id="rId1"/>
    <hyperlink ref="A3" r:id="rId2" display="dmellis@mweb.co.za"/>
  </hyperlinks>
  <pageMargins left="0.7" right="0.7" top="0.75" bottom="0.75" header="0.3" footer="0.3"/>
  <pageSetup orientation="portrait" verticalDpi="0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94"/>
  <sheetViews>
    <sheetView workbookViewId="0">
      <selection activeCell="B1" sqref="B1"/>
    </sheetView>
  </sheetViews>
  <sheetFormatPr defaultRowHeight="15" x14ac:dyDescent="0.25"/>
  <cols>
    <col min="1" max="1" width="35.85546875" style="12" customWidth="1"/>
    <col min="2" max="2" width="10.5703125" style="12" bestFit="1" customWidth="1"/>
    <col min="3" max="3" width="44.42578125" style="15" customWidth="1"/>
    <col min="4" max="4" width="21" style="5" customWidth="1"/>
    <col min="5" max="5" width="51.7109375" style="12" customWidth="1"/>
    <col min="6" max="6" width="17.42578125" style="12" customWidth="1"/>
    <col min="8" max="8" width="62.140625" style="15" customWidth="1"/>
    <col min="9" max="9" width="27.85546875" style="15" customWidth="1"/>
  </cols>
  <sheetData>
    <row r="1" spans="1:9" x14ac:dyDescent="0.25">
      <c r="A1" s="13" t="s">
        <v>3</v>
      </c>
      <c r="B1" s="13" t="s">
        <v>34</v>
      </c>
      <c r="C1" s="18" t="s">
        <v>40</v>
      </c>
      <c r="D1" s="4"/>
      <c r="E1" s="13" t="s">
        <v>50</v>
      </c>
      <c r="F1" s="13" t="s">
        <v>51</v>
      </c>
      <c r="H1" s="13"/>
      <c r="I1" s="13"/>
    </row>
    <row r="2" spans="1:9" x14ac:dyDescent="0.25">
      <c r="A2" s="12" t="s">
        <v>95</v>
      </c>
      <c r="B2" s="12" t="s">
        <v>35</v>
      </c>
      <c r="C2" s="12" t="s">
        <v>29</v>
      </c>
      <c r="E2" s="12" t="s">
        <v>75</v>
      </c>
      <c r="F2" s="12">
        <v>10053846</v>
      </c>
      <c r="H2" s="12"/>
      <c r="I2" s="12"/>
    </row>
    <row r="3" spans="1:9" x14ac:dyDescent="0.25">
      <c r="A3" s="12" t="s">
        <v>96</v>
      </c>
      <c r="B3" s="12" t="s">
        <v>36</v>
      </c>
      <c r="C3" s="12" t="s">
        <v>41</v>
      </c>
      <c r="E3" s="12" t="s">
        <v>52</v>
      </c>
      <c r="H3" s="12"/>
      <c r="I3" s="12"/>
    </row>
    <row r="4" spans="1:9" x14ac:dyDescent="0.25">
      <c r="A4" s="12" t="s">
        <v>98</v>
      </c>
      <c r="B4" s="12" t="s">
        <v>35</v>
      </c>
      <c r="C4" s="12" t="s">
        <v>42</v>
      </c>
      <c r="E4" s="12" t="s">
        <v>46</v>
      </c>
      <c r="F4" s="12">
        <v>10007783</v>
      </c>
      <c r="H4" s="12"/>
      <c r="I4" s="12"/>
    </row>
    <row r="5" spans="1:9" x14ac:dyDescent="0.25">
      <c r="A5" s="12" t="s">
        <v>97</v>
      </c>
      <c r="B5" s="12" t="s">
        <v>36</v>
      </c>
      <c r="C5" s="12" t="s">
        <v>43</v>
      </c>
      <c r="E5" s="12" t="s">
        <v>53</v>
      </c>
      <c r="F5" s="12">
        <v>10001718</v>
      </c>
      <c r="H5" s="12"/>
      <c r="I5" s="12"/>
    </row>
    <row r="6" spans="1:9" x14ac:dyDescent="0.25">
      <c r="C6" s="12" t="s">
        <v>44</v>
      </c>
      <c r="E6" s="12" t="s">
        <v>54</v>
      </c>
      <c r="F6" s="12">
        <v>10009909</v>
      </c>
      <c r="H6" s="12"/>
      <c r="I6" s="12"/>
    </row>
    <row r="7" spans="1:9" x14ac:dyDescent="0.25">
      <c r="C7" s="12" t="s">
        <v>94</v>
      </c>
      <c r="E7" s="12" t="s">
        <v>76</v>
      </c>
      <c r="F7" s="12">
        <v>10001474</v>
      </c>
      <c r="H7" s="12"/>
      <c r="I7" s="12"/>
    </row>
    <row r="8" spans="1:9" x14ac:dyDescent="0.25">
      <c r="C8" s="12" t="s">
        <v>45</v>
      </c>
      <c r="E8" s="12" t="s">
        <v>99</v>
      </c>
      <c r="F8" s="12">
        <v>10013960</v>
      </c>
      <c r="H8" s="12"/>
      <c r="I8" s="12"/>
    </row>
    <row r="9" spans="1:9" x14ac:dyDescent="0.25">
      <c r="C9" s="12"/>
      <c r="E9" s="12" t="s">
        <v>55</v>
      </c>
      <c r="H9" s="12"/>
      <c r="I9" s="12"/>
    </row>
    <row r="10" spans="1:9" x14ac:dyDescent="0.25">
      <c r="E10" s="12" t="s">
        <v>56</v>
      </c>
      <c r="F10" s="12">
        <v>10017785</v>
      </c>
      <c r="H10" s="12"/>
      <c r="I10" s="12"/>
    </row>
    <row r="11" spans="1:9" x14ac:dyDescent="0.25">
      <c r="E11" s="12" t="s">
        <v>77</v>
      </c>
      <c r="F11" s="12">
        <v>10003121</v>
      </c>
      <c r="H11" s="12"/>
      <c r="I11" s="12"/>
    </row>
    <row r="12" spans="1:9" x14ac:dyDescent="0.25">
      <c r="E12" s="12" t="s">
        <v>57</v>
      </c>
      <c r="H12" s="12"/>
      <c r="I12" s="12"/>
    </row>
    <row r="13" spans="1:9" x14ac:dyDescent="0.25">
      <c r="C13" s="12"/>
      <c r="E13" s="12" t="s">
        <v>58</v>
      </c>
      <c r="F13" s="12">
        <v>10000127</v>
      </c>
      <c r="H13" s="12"/>
      <c r="I13" s="12"/>
    </row>
    <row r="14" spans="1:9" x14ac:dyDescent="0.25">
      <c r="C14" s="12"/>
      <c r="E14" s="12" t="s">
        <v>59</v>
      </c>
      <c r="H14" s="12"/>
      <c r="I14" s="12"/>
    </row>
    <row r="15" spans="1:9" x14ac:dyDescent="0.25">
      <c r="C15" s="12"/>
      <c r="E15" s="12" t="s">
        <v>60</v>
      </c>
      <c r="F15" s="12">
        <v>10022163</v>
      </c>
      <c r="I15" s="12"/>
    </row>
    <row r="16" spans="1:9" x14ac:dyDescent="0.25">
      <c r="E16" s="12" t="s">
        <v>78</v>
      </c>
      <c r="H16" s="12"/>
      <c r="I16" s="12"/>
    </row>
    <row r="17" spans="3:9" x14ac:dyDescent="0.25">
      <c r="C17" s="12"/>
      <c r="E17" s="12" t="s">
        <v>79</v>
      </c>
      <c r="F17" s="12">
        <v>10028868</v>
      </c>
      <c r="H17" s="12"/>
    </row>
    <row r="18" spans="3:9" x14ac:dyDescent="0.25">
      <c r="C18" s="12"/>
      <c r="E18" s="12" t="s">
        <v>47</v>
      </c>
      <c r="F18" s="12">
        <v>10061008</v>
      </c>
      <c r="H18" s="12"/>
      <c r="I18" s="12"/>
    </row>
    <row r="19" spans="3:9" x14ac:dyDescent="0.25">
      <c r="C19" s="12"/>
      <c r="E19" s="12" t="s">
        <v>80</v>
      </c>
      <c r="F19" s="12">
        <v>10013014</v>
      </c>
      <c r="H19" s="12"/>
      <c r="I19" s="12"/>
    </row>
    <row r="20" spans="3:9" x14ac:dyDescent="0.25">
      <c r="C20" s="12"/>
      <c r="E20" s="12" t="s">
        <v>81</v>
      </c>
      <c r="F20" s="12">
        <v>10000510</v>
      </c>
      <c r="H20" s="12"/>
      <c r="I20" s="12"/>
    </row>
    <row r="21" spans="3:9" x14ac:dyDescent="0.25">
      <c r="E21" s="12" t="s">
        <v>61</v>
      </c>
      <c r="H21" s="12"/>
      <c r="I21" s="12"/>
    </row>
    <row r="22" spans="3:9" x14ac:dyDescent="0.25">
      <c r="C22" s="12"/>
      <c r="E22" s="12" t="s">
        <v>82</v>
      </c>
      <c r="H22" s="12"/>
      <c r="I22" s="12"/>
    </row>
    <row r="23" spans="3:9" x14ac:dyDescent="0.25">
      <c r="C23" s="12"/>
      <c r="E23" s="12" t="s">
        <v>62</v>
      </c>
      <c r="F23" s="12">
        <v>10058509</v>
      </c>
      <c r="I23" s="12"/>
    </row>
    <row r="24" spans="3:9" x14ac:dyDescent="0.25">
      <c r="C24" s="12"/>
      <c r="E24" s="12" t="s">
        <v>63</v>
      </c>
      <c r="F24" s="12">
        <v>10004300</v>
      </c>
      <c r="I24" s="12"/>
    </row>
    <row r="25" spans="3:9" x14ac:dyDescent="0.25">
      <c r="C25" s="12"/>
      <c r="E25" s="12" t="s">
        <v>64</v>
      </c>
      <c r="F25" s="12">
        <v>10013430</v>
      </c>
    </row>
    <row r="26" spans="3:9" x14ac:dyDescent="0.25">
      <c r="C26" s="12"/>
      <c r="E26" s="12" t="s">
        <v>83</v>
      </c>
    </row>
    <row r="27" spans="3:9" x14ac:dyDescent="0.25">
      <c r="C27" s="12"/>
      <c r="E27" s="12" t="s">
        <v>65</v>
      </c>
    </row>
    <row r="28" spans="3:9" x14ac:dyDescent="0.25">
      <c r="C28" s="12"/>
      <c r="E28" s="12" t="s">
        <v>66</v>
      </c>
      <c r="F28" s="12">
        <v>10001474</v>
      </c>
    </row>
    <row r="29" spans="3:9" x14ac:dyDescent="0.25">
      <c r="C29" s="12"/>
      <c r="E29" s="12" t="s">
        <v>84</v>
      </c>
      <c r="H29" s="12"/>
    </row>
    <row r="30" spans="3:9" x14ac:dyDescent="0.25">
      <c r="C30" s="12"/>
      <c r="E30" s="12" t="s">
        <v>67</v>
      </c>
      <c r="F30" s="12">
        <v>10001366</v>
      </c>
      <c r="H30" s="12"/>
    </row>
    <row r="31" spans="3:9" x14ac:dyDescent="0.25">
      <c r="C31" s="12"/>
      <c r="E31" s="12" t="s">
        <v>85</v>
      </c>
      <c r="F31" s="12">
        <v>10055645</v>
      </c>
      <c r="H31" s="12"/>
      <c r="I31" s="12"/>
    </row>
    <row r="32" spans="3:9" x14ac:dyDescent="0.25">
      <c r="C32" s="12"/>
      <c r="E32" s="12" t="s">
        <v>86</v>
      </c>
      <c r="F32" s="12">
        <v>10016722</v>
      </c>
      <c r="H32" s="12"/>
      <c r="I32" s="12"/>
    </row>
    <row r="33" spans="3:9" x14ac:dyDescent="0.25">
      <c r="C33" s="12"/>
      <c r="E33" s="12" t="s">
        <v>68</v>
      </c>
      <c r="F33" s="12">
        <v>10001475</v>
      </c>
      <c r="H33" s="12"/>
      <c r="I33" s="12"/>
    </row>
    <row r="34" spans="3:9" x14ac:dyDescent="0.25">
      <c r="C34" s="12"/>
      <c r="E34" s="12" t="s">
        <v>87</v>
      </c>
      <c r="F34" s="12">
        <v>10023119</v>
      </c>
      <c r="H34" s="12"/>
      <c r="I34" s="12"/>
    </row>
    <row r="35" spans="3:9" x14ac:dyDescent="0.25">
      <c r="C35" s="12"/>
      <c r="E35" s="12" t="s">
        <v>88</v>
      </c>
      <c r="H35" s="12"/>
      <c r="I35" s="12"/>
    </row>
    <row r="36" spans="3:9" x14ac:dyDescent="0.25">
      <c r="C36" s="12"/>
      <c r="E36" s="12" t="s">
        <v>69</v>
      </c>
      <c r="H36" s="12"/>
      <c r="I36" s="12"/>
    </row>
    <row r="37" spans="3:9" x14ac:dyDescent="0.25">
      <c r="E37" s="12" t="s">
        <v>70</v>
      </c>
      <c r="F37" s="12">
        <v>10015899</v>
      </c>
      <c r="H37" s="12"/>
      <c r="I37" s="12"/>
    </row>
    <row r="38" spans="3:9" x14ac:dyDescent="0.25">
      <c r="E38" s="12" t="s">
        <v>89</v>
      </c>
      <c r="F38" s="12">
        <v>10019105</v>
      </c>
      <c r="H38" s="12"/>
      <c r="I38" s="12"/>
    </row>
    <row r="39" spans="3:9" x14ac:dyDescent="0.25">
      <c r="C39" s="12"/>
      <c r="E39" s="12" t="s">
        <v>100</v>
      </c>
      <c r="H39" s="12"/>
      <c r="I39" s="12"/>
    </row>
    <row r="40" spans="3:9" x14ac:dyDescent="0.25">
      <c r="E40" s="12" t="s">
        <v>71</v>
      </c>
      <c r="H40" s="12"/>
      <c r="I40" s="12"/>
    </row>
    <row r="41" spans="3:9" x14ac:dyDescent="0.25">
      <c r="C41" s="12"/>
      <c r="E41" s="12" t="s">
        <v>90</v>
      </c>
      <c r="H41" s="12"/>
      <c r="I41" s="12"/>
    </row>
    <row r="42" spans="3:9" x14ac:dyDescent="0.25">
      <c r="C42" s="12"/>
      <c r="E42" s="12" t="s">
        <v>72</v>
      </c>
      <c r="F42" s="12">
        <v>10001525</v>
      </c>
      <c r="H42" s="12"/>
      <c r="I42" s="12"/>
    </row>
    <row r="43" spans="3:9" x14ac:dyDescent="0.25">
      <c r="C43" s="12"/>
      <c r="E43" s="12" t="s">
        <v>73</v>
      </c>
      <c r="H43" s="12"/>
      <c r="I43" s="12"/>
    </row>
    <row r="44" spans="3:9" x14ac:dyDescent="0.25">
      <c r="C44" s="12"/>
      <c r="E44" s="12" t="s">
        <v>91</v>
      </c>
      <c r="F44" s="12">
        <v>10013351</v>
      </c>
      <c r="H44" s="12"/>
      <c r="I44" s="12"/>
    </row>
    <row r="45" spans="3:9" x14ac:dyDescent="0.25">
      <c r="C45" s="12"/>
      <c r="E45" s="12" t="s">
        <v>74</v>
      </c>
      <c r="F45" s="12">
        <v>10001731</v>
      </c>
      <c r="H45" s="12"/>
      <c r="I45" s="12"/>
    </row>
    <row r="46" spans="3:9" x14ac:dyDescent="0.25">
      <c r="C46" s="12"/>
      <c r="E46" s="12" t="s">
        <v>93</v>
      </c>
      <c r="F46" s="12">
        <v>1001145</v>
      </c>
      <c r="H46" s="12"/>
      <c r="I46" s="12"/>
    </row>
    <row r="47" spans="3:9" x14ac:dyDescent="0.25">
      <c r="C47" s="12"/>
      <c r="E47" s="12" t="s">
        <v>92</v>
      </c>
      <c r="I47" s="12"/>
    </row>
    <row r="48" spans="3:9" x14ac:dyDescent="0.25">
      <c r="C48" s="12"/>
      <c r="I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3" x14ac:dyDescent="0.25">
      <c r="C65" s="12"/>
    </row>
    <row r="66" spans="3:3" x14ac:dyDescent="0.25">
      <c r="C66" s="12"/>
    </row>
    <row r="67" spans="3:3" x14ac:dyDescent="0.25">
      <c r="C67" s="12"/>
    </row>
    <row r="68" spans="3:3" x14ac:dyDescent="0.25">
      <c r="C68" s="12"/>
    </row>
    <row r="69" spans="3:3" x14ac:dyDescent="0.25">
      <c r="C69" s="12"/>
    </row>
    <row r="70" spans="3:3" x14ac:dyDescent="0.25">
      <c r="C70" s="12"/>
    </row>
    <row r="71" spans="3:3" x14ac:dyDescent="0.25">
      <c r="C71" s="12"/>
    </row>
    <row r="72" spans="3:3" x14ac:dyDescent="0.25">
      <c r="C72" s="12"/>
    </row>
    <row r="73" spans="3:3" x14ac:dyDescent="0.25">
      <c r="C73" s="12"/>
    </row>
    <row r="74" spans="3:3" x14ac:dyDescent="0.25">
      <c r="C74" s="12"/>
    </row>
    <row r="77" spans="3:3" x14ac:dyDescent="0.25">
      <c r="C77" s="12"/>
    </row>
    <row r="78" spans="3:3" x14ac:dyDescent="0.25">
      <c r="C78" s="12"/>
    </row>
    <row r="79" spans="3:3" x14ac:dyDescent="0.25">
      <c r="C79" s="12"/>
    </row>
    <row r="80" spans="3:3" x14ac:dyDescent="0.25">
      <c r="C80" s="12"/>
    </row>
    <row r="81" spans="3:3" x14ac:dyDescent="0.25">
      <c r="C81" s="12"/>
    </row>
    <row r="82" spans="3:3" x14ac:dyDescent="0.25">
      <c r="C82" s="12"/>
    </row>
    <row r="83" spans="3:3" x14ac:dyDescent="0.25">
      <c r="C83" s="12"/>
    </row>
    <row r="84" spans="3:3" x14ac:dyDescent="0.25">
      <c r="C84" s="12"/>
    </row>
    <row r="85" spans="3:3" x14ac:dyDescent="0.25">
      <c r="C85" s="12"/>
    </row>
    <row r="86" spans="3:3" x14ac:dyDescent="0.25">
      <c r="C86" s="12"/>
    </row>
    <row r="87" spans="3:3" x14ac:dyDescent="0.25">
      <c r="C87" s="12"/>
    </row>
    <row r="91" spans="3:3" x14ac:dyDescent="0.25">
      <c r="C91" s="12"/>
    </row>
    <row r="92" spans="3:3" x14ac:dyDescent="0.25">
      <c r="C92" s="12"/>
    </row>
    <row r="93" spans="3:3" x14ac:dyDescent="0.25">
      <c r="C93" s="12"/>
    </row>
    <row r="94" spans="3:3" x14ac:dyDescent="0.25">
      <c r="C94" s="12"/>
    </row>
  </sheetData>
  <sortState ref="E1:F94">
    <sortCondition ref="E1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B3"/>
  <sheetViews>
    <sheetView workbookViewId="0">
      <selection activeCell="B1" sqref="B1"/>
    </sheetView>
  </sheetViews>
  <sheetFormatPr defaultRowHeight="15" x14ac:dyDescent="0.25"/>
  <cols>
    <col min="1" max="1" width="28.5703125" customWidth="1"/>
    <col min="2" max="2" width="26" customWidth="1"/>
  </cols>
  <sheetData>
    <row r="2" spans="1:2" x14ac:dyDescent="0.25">
      <c r="A2" t="s">
        <v>96</v>
      </c>
      <c r="B2">
        <v>50777.960000000006</v>
      </c>
    </row>
    <row r="3" spans="1:2" x14ac:dyDescent="0.25">
      <c r="A3" t="s">
        <v>97</v>
      </c>
      <c r="B3">
        <v>20430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B3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21.7109375" customWidth="1"/>
  </cols>
  <sheetData>
    <row r="2" spans="1:2" x14ac:dyDescent="0.25">
      <c r="A2" t="s">
        <v>95</v>
      </c>
      <c r="B2">
        <v>14851.5</v>
      </c>
    </row>
    <row r="3" spans="1:2" x14ac:dyDescent="0.25">
      <c r="A3" t="s">
        <v>98</v>
      </c>
      <c r="B3">
        <v>66738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113"/>
  <sheetViews>
    <sheetView showGridLines="0" topLeftCell="A16" workbookViewId="0">
      <selection activeCell="A39" sqref="A39"/>
    </sheetView>
  </sheetViews>
  <sheetFormatPr defaultRowHeight="15" x14ac:dyDescent="0.25"/>
  <cols>
    <col min="1" max="1" width="32.140625" style="85" customWidth="1"/>
    <col min="2" max="2" width="16" style="85" customWidth="1"/>
    <col min="3" max="3" width="11.85546875" style="85" customWidth="1"/>
    <col min="4" max="4" width="39" style="85" bestFit="1" customWidth="1"/>
    <col min="5" max="5" width="16.7109375" style="85" customWidth="1"/>
    <col min="6" max="16384" width="9.140625" style="79"/>
  </cols>
  <sheetData>
    <row r="1" spans="1:5" x14ac:dyDescent="0.25">
      <c r="A1" s="90" t="s">
        <v>108</v>
      </c>
      <c r="B1" s="26">
        <v>42423.416288657405</v>
      </c>
    </row>
    <row r="3" spans="1:5" x14ac:dyDescent="0.25">
      <c r="A3" s="90" t="s">
        <v>109</v>
      </c>
      <c r="B3" s="83">
        <f>SUM(B4:B12)</f>
        <v>71207.960000000006</v>
      </c>
      <c r="C3" s="90"/>
      <c r="D3" s="90" t="s">
        <v>110</v>
      </c>
      <c r="E3" s="82">
        <f>SUM(E4:E12)</f>
        <v>81589.5</v>
      </c>
    </row>
    <row r="4" spans="1:5" x14ac:dyDescent="0.25">
      <c r="A4" s="86" t="s">
        <v>96</v>
      </c>
      <c r="B4" s="81">
        <v>50777.960000000006</v>
      </c>
      <c r="D4" s="87" t="s">
        <v>95</v>
      </c>
      <c r="E4" s="91">
        <v>14851.5</v>
      </c>
    </row>
    <row r="5" spans="1:5" x14ac:dyDescent="0.25">
      <c r="A5" s="86" t="s">
        <v>97</v>
      </c>
      <c r="B5" s="81">
        <v>20430</v>
      </c>
      <c r="D5" s="87" t="s">
        <v>98</v>
      </c>
      <c r="E5" s="91">
        <v>66738</v>
      </c>
    </row>
    <row r="6" spans="1:5" x14ac:dyDescent="0.25">
      <c r="A6" s="86"/>
      <c r="B6" s="81"/>
      <c r="D6" s="87"/>
      <c r="E6" s="91"/>
    </row>
    <row r="7" spans="1:5" x14ac:dyDescent="0.25">
      <c r="A7" s="86"/>
      <c r="B7" s="81"/>
      <c r="D7" s="87"/>
      <c r="E7" s="91"/>
    </row>
    <row r="8" spans="1:5" x14ac:dyDescent="0.25">
      <c r="A8" s="86"/>
      <c r="B8" s="81"/>
      <c r="D8" s="87"/>
      <c r="E8" s="91"/>
    </row>
    <row r="9" spans="1:5" x14ac:dyDescent="0.25">
      <c r="A9" s="86"/>
      <c r="B9" s="81"/>
      <c r="D9" s="87"/>
      <c r="E9" s="91"/>
    </row>
    <row r="10" spans="1:5" x14ac:dyDescent="0.25">
      <c r="A10" s="86"/>
      <c r="B10" s="81"/>
      <c r="D10" s="87"/>
      <c r="E10" s="91"/>
    </row>
    <row r="11" spans="1:5" x14ac:dyDescent="0.25">
      <c r="A11" s="86"/>
      <c r="B11" s="80"/>
      <c r="D11" s="87"/>
      <c r="E11" s="89"/>
    </row>
    <row r="12" spans="1:5" x14ac:dyDescent="0.25">
      <c r="A12" s="94"/>
      <c r="B12" s="95"/>
      <c r="C12" s="92"/>
      <c r="D12" s="96"/>
      <c r="E12" s="93"/>
    </row>
    <row r="13" spans="1:5" x14ac:dyDescent="0.25">
      <c r="D13" s="89"/>
      <c r="E13" s="89"/>
    </row>
    <row r="14" spans="1:5" ht="18.75" x14ac:dyDescent="0.3">
      <c r="A14" s="128" t="s">
        <v>112</v>
      </c>
      <c r="B14" s="128"/>
      <c r="C14" s="128"/>
      <c r="D14" s="128"/>
      <c r="E14" s="128"/>
    </row>
    <row r="15" spans="1:5" x14ac:dyDescent="0.25">
      <c r="D15" s="89"/>
      <c r="E15" s="89"/>
    </row>
    <row r="16" spans="1:5" x14ac:dyDescent="0.25">
      <c r="A16" s="90" t="s">
        <v>111</v>
      </c>
      <c r="B16" s="83">
        <v>2321</v>
      </c>
      <c r="D16" s="89"/>
      <c r="E16" s="89"/>
    </row>
    <row r="17" spans="1:5" x14ac:dyDescent="0.25">
      <c r="D17" s="89"/>
      <c r="E17" s="89"/>
    </row>
    <row r="18" spans="1:5" x14ac:dyDescent="0.25">
      <c r="A18" s="90" t="s">
        <v>113</v>
      </c>
      <c r="B18" s="83">
        <f>SUM(DEBTORS!E2:E5018)</f>
        <v>0</v>
      </c>
      <c r="D18" s="88"/>
      <c r="E18" s="81"/>
    </row>
    <row r="19" spans="1:5" x14ac:dyDescent="0.25">
      <c r="D19" s="88"/>
      <c r="E19" s="81"/>
    </row>
    <row r="20" spans="1:5" x14ac:dyDescent="0.25">
      <c r="D20" s="88"/>
      <c r="E20" s="81"/>
    </row>
    <row r="21" spans="1:5" x14ac:dyDescent="0.25">
      <c r="D21" s="88"/>
      <c r="E21" s="81"/>
    </row>
    <row r="22" spans="1:5" x14ac:dyDescent="0.25">
      <c r="D22" s="89"/>
      <c r="E22" s="89"/>
    </row>
    <row r="23" spans="1:5" x14ac:dyDescent="0.25">
      <c r="A23" s="92"/>
      <c r="B23" s="92"/>
      <c r="C23" s="92"/>
      <c r="D23" s="93"/>
      <c r="E23" s="93"/>
    </row>
    <row r="24" spans="1:5" x14ac:dyDescent="0.25">
      <c r="B24" s="84"/>
      <c r="D24" s="89"/>
      <c r="E24" s="89"/>
    </row>
    <row r="25" spans="1:5" x14ac:dyDescent="0.25">
      <c r="D25" s="89"/>
      <c r="E25" s="89"/>
    </row>
    <row r="26" spans="1:5" x14ac:dyDescent="0.25">
      <c r="A26" s="88"/>
      <c r="D26" s="97"/>
      <c r="E26" s="89"/>
    </row>
    <row r="27" spans="1:5" x14ac:dyDescent="0.25">
      <c r="A27" s="88"/>
      <c r="D27" s="97"/>
      <c r="E27" s="89"/>
    </row>
    <row r="28" spans="1:5" x14ac:dyDescent="0.25">
      <c r="D28" s="97"/>
      <c r="E28" s="89"/>
    </row>
    <row r="29" spans="1:5" x14ac:dyDescent="0.25">
      <c r="D29" s="97"/>
      <c r="E29" s="81"/>
    </row>
    <row r="30" spans="1:5" x14ac:dyDescent="0.25">
      <c r="D30" s="97"/>
      <c r="E30" s="91"/>
    </row>
    <row r="31" spans="1:5" x14ac:dyDescent="0.25">
      <c r="A31" s="92"/>
      <c r="B31" s="92"/>
      <c r="C31" s="92"/>
      <c r="D31" s="93"/>
      <c r="E31" s="93"/>
    </row>
    <row r="32" spans="1:5" x14ac:dyDescent="0.25">
      <c r="B32" s="84"/>
      <c r="D32" s="89"/>
      <c r="E32" s="89"/>
    </row>
    <row r="33" spans="1:5" x14ac:dyDescent="0.25">
      <c r="D33" s="89"/>
      <c r="E33" s="89"/>
    </row>
    <row r="34" spans="1:5" x14ac:dyDescent="0.25">
      <c r="A34" s="90"/>
      <c r="B34" s="90"/>
      <c r="D34" s="97"/>
      <c r="E34" s="81"/>
    </row>
    <row r="35" spans="1:5" x14ac:dyDescent="0.25">
      <c r="B35" s="34"/>
      <c r="D35" s="97"/>
      <c r="E35" s="81"/>
    </row>
    <row r="36" spans="1:5" x14ac:dyDescent="0.25">
      <c r="B36" s="34"/>
      <c r="D36" s="97"/>
      <c r="E36" s="89"/>
    </row>
    <row r="37" spans="1:5" x14ac:dyDescent="0.25">
      <c r="B37" s="34"/>
      <c r="D37" s="97"/>
      <c r="E37" s="91"/>
    </row>
    <row r="38" spans="1:5" x14ac:dyDescent="0.25">
      <c r="B38" s="34"/>
      <c r="D38" s="97"/>
      <c r="E38" s="91"/>
    </row>
    <row r="39" spans="1:5" x14ac:dyDescent="0.25">
      <c r="B39" s="34"/>
      <c r="D39" s="89"/>
      <c r="E39" s="89"/>
    </row>
    <row r="40" spans="1:5" x14ac:dyDescent="0.25">
      <c r="B40" s="34"/>
      <c r="D40" s="93"/>
      <c r="E40" s="93"/>
    </row>
    <row r="41" spans="1:5" x14ac:dyDescent="0.25">
      <c r="B41" s="34"/>
      <c r="D41" s="89"/>
      <c r="E41" s="89"/>
    </row>
    <row r="42" spans="1:5" x14ac:dyDescent="0.25">
      <c r="B42" s="34"/>
      <c r="D42" s="129"/>
      <c r="E42" s="129"/>
    </row>
    <row r="43" spans="1:5" x14ac:dyDescent="0.25">
      <c r="B43" s="34"/>
      <c r="D43" s="89"/>
      <c r="E43" s="89"/>
    </row>
    <row r="44" spans="1:5" x14ac:dyDescent="0.25">
      <c r="B44" s="34"/>
      <c r="D44" s="97"/>
      <c r="E44" s="89"/>
    </row>
    <row r="45" spans="1:5" x14ac:dyDescent="0.25">
      <c r="B45" s="34"/>
      <c r="D45" s="97"/>
      <c r="E45" s="89"/>
    </row>
    <row r="46" spans="1:5" x14ac:dyDescent="0.25">
      <c r="B46" s="34"/>
      <c r="D46" s="97"/>
      <c r="E46" s="89"/>
    </row>
    <row r="47" spans="1:5" x14ac:dyDescent="0.25">
      <c r="B47" s="34"/>
      <c r="D47" s="97"/>
      <c r="E47" s="91"/>
    </row>
    <row r="48" spans="1:5" x14ac:dyDescent="0.25">
      <c r="B48" s="34"/>
      <c r="D48" s="97"/>
      <c r="E48" s="89"/>
    </row>
    <row r="49" spans="2:5" x14ac:dyDescent="0.25">
      <c r="B49" s="34"/>
      <c r="D49" s="88"/>
    </row>
    <row r="50" spans="2:5" x14ac:dyDescent="0.25">
      <c r="B50" s="34"/>
      <c r="D50" s="97"/>
      <c r="E50" s="91"/>
    </row>
    <row r="51" spans="2:5" x14ac:dyDescent="0.25">
      <c r="B51" s="34"/>
      <c r="D51" s="97"/>
      <c r="E51" s="89"/>
    </row>
    <row r="52" spans="2:5" x14ac:dyDescent="0.25">
      <c r="B52" s="34"/>
      <c r="D52" s="97"/>
      <c r="E52" s="89"/>
    </row>
    <row r="53" spans="2:5" x14ac:dyDescent="0.25">
      <c r="B53" s="34"/>
      <c r="D53" s="89"/>
      <c r="E53" s="89"/>
    </row>
    <row r="54" spans="2:5" x14ac:dyDescent="0.25">
      <c r="B54" s="34"/>
      <c r="D54" s="89"/>
      <c r="E54" s="89"/>
    </row>
    <row r="55" spans="2:5" x14ac:dyDescent="0.25">
      <c r="B55" s="34"/>
      <c r="D55" s="89"/>
      <c r="E55" s="89"/>
    </row>
    <row r="56" spans="2:5" x14ac:dyDescent="0.25">
      <c r="D56" s="89"/>
      <c r="E56" s="89"/>
    </row>
    <row r="63" spans="2:5" x14ac:dyDescent="0.25">
      <c r="D63" s="89"/>
      <c r="E63" s="89"/>
    </row>
    <row r="64" spans="2:5" x14ac:dyDescent="0.25">
      <c r="D64" s="89"/>
      <c r="E64" s="89"/>
    </row>
    <row r="65" spans="4:5" x14ac:dyDescent="0.25">
      <c r="D65" s="89"/>
      <c r="E65" s="89"/>
    </row>
    <row r="66" spans="4:5" x14ac:dyDescent="0.25">
      <c r="D66" s="89"/>
      <c r="E66" s="89"/>
    </row>
    <row r="67" spans="4:5" x14ac:dyDescent="0.25">
      <c r="D67" s="89"/>
      <c r="E67" s="89"/>
    </row>
    <row r="68" spans="4:5" x14ac:dyDescent="0.25">
      <c r="D68" s="89"/>
      <c r="E68" s="89"/>
    </row>
    <row r="69" spans="4:5" x14ac:dyDescent="0.25">
      <c r="D69" s="89"/>
      <c r="E69" s="89"/>
    </row>
    <row r="70" spans="4:5" x14ac:dyDescent="0.25">
      <c r="D70" s="89"/>
      <c r="E70" s="89"/>
    </row>
    <row r="71" spans="4:5" x14ac:dyDescent="0.25">
      <c r="D71" s="89"/>
      <c r="E71" s="89"/>
    </row>
    <row r="72" spans="4:5" x14ac:dyDescent="0.25">
      <c r="D72" s="89"/>
      <c r="E72" s="89"/>
    </row>
    <row r="73" spans="4:5" x14ac:dyDescent="0.25">
      <c r="D73" s="89"/>
      <c r="E73" s="89"/>
    </row>
    <row r="74" spans="4:5" x14ac:dyDescent="0.25">
      <c r="D74" s="89"/>
      <c r="E74" s="89"/>
    </row>
    <row r="75" spans="4:5" x14ac:dyDescent="0.25">
      <c r="D75" s="89"/>
      <c r="E75" s="89"/>
    </row>
    <row r="76" spans="4:5" x14ac:dyDescent="0.25">
      <c r="D76" s="89"/>
      <c r="E76" s="89"/>
    </row>
    <row r="77" spans="4:5" x14ac:dyDescent="0.25">
      <c r="D77" s="89"/>
      <c r="E77" s="89"/>
    </row>
    <row r="78" spans="4:5" x14ac:dyDescent="0.25">
      <c r="D78" s="89"/>
      <c r="E78" s="89"/>
    </row>
    <row r="79" spans="4:5" x14ac:dyDescent="0.25">
      <c r="D79" s="89"/>
      <c r="E79" s="89"/>
    </row>
    <row r="80" spans="4:5" x14ac:dyDescent="0.25">
      <c r="D80" s="89"/>
      <c r="E80" s="89"/>
    </row>
    <row r="81" spans="4:5" x14ac:dyDescent="0.25">
      <c r="D81" s="89"/>
      <c r="E81" s="89"/>
    </row>
    <row r="82" spans="4:5" x14ac:dyDescent="0.25">
      <c r="D82" s="89"/>
      <c r="E82" s="89"/>
    </row>
    <row r="83" spans="4:5" x14ac:dyDescent="0.25">
      <c r="D83" s="89"/>
      <c r="E83" s="89"/>
    </row>
    <row r="84" spans="4:5" x14ac:dyDescent="0.25">
      <c r="D84" s="89"/>
      <c r="E84" s="89"/>
    </row>
    <row r="85" spans="4:5" x14ac:dyDescent="0.25">
      <c r="D85" s="89"/>
      <c r="E85" s="89"/>
    </row>
    <row r="86" spans="4:5" x14ac:dyDescent="0.25">
      <c r="D86" s="89"/>
      <c r="E86" s="89"/>
    </row>
    <row r="87" spans="4:5" x14ac:dyDescent="0.25">
      <c r="D87" s="89"/>
      <c r="E87" s="89"/>
    </row>
    <row r="88" spans="4:5" x14ac:dyDescent="0.25">
      <c r="D88" s="89"/>
      <c r="E88" s="89"/>
    </row>
    <row r="89" spans="4:5" x14ac:dyDescent="0.25">
      <c r="D89" s="89"/>
      <c r="E89" s="89"/>
    </row>
    <row r="90" spans="4:5" x14ac:dyDescent="0.25">
      <c r="D90" s="89"/>
      <c r="E90" s="89"/>
    </row>
    <row r="91" spans="4:5" x14ac:dyDescent="0.25">
      <c r="D91" s="89"/>
      <c r="E91" s="89"/>
    </row>
    <row r="92" spans="4:5" x14ac:dyDescent="0.25">
      <c r="D92" s="89"/>
      <c r="E92" s="89"/>
    </row>
    <row r="93" spans="4:5" x14ac:dyDescent="0.25">
      <c r="D93" s="89"/>
      <c r="E93" s="89"/>
    </row>
    <row r="94" spans="4:5" x14ac:dyDescent="0.25">
      <c r="D94" s="89"/>
      <c r="E94" s="89"/>
    </row>
    <row r="95" spans="4:5" x14ac:dyDescent="0.25">
      <c r="D95" s="89"/>
      <c r="E95" s="89"/>
    </row>
    <row r="96" spans="4:5" x14ac:dyDescent="0.25">
      <c r="D96" s="89"/>
      <c r="E96" s="89"/>
    </row>
    <row r="97" spans="4:5" x14ac:dyDescent="0.25">
      <c r="D97" s="89"/>
      <c r="E97" s="89"/>
    </row>
    <row r="98" spans="4:5" x14ac:dyDescent="0.25">
      <c r="D98" s="89"/>
      <c r="E98" s="89"/>
    </row>
    <row r="99" spans="4:5" x14ac:dyDescent="0.25">
      <c r="D99" s="89"/>
      <c r="E99" s="89"/>
    </row>
    <row r="100" spans="4:5" x14ac:dyDescent="0.25">
      <c r="D100" s="89"/>
      <c r="E100" s="89"/>
    </row>
    <row r="101" spans="4:5" x14ac:dyDescent="0.25">
      <c r="D101" s="89"/>
      <c r="E101" s="89"/>
    </row>
    <row r="102" spans="4:5" x14ac:dyDescent="0.25">
      <c r="D102" s="89"/>
      <c r="E102" s="89"/>
    </row>
    <row r="103" spans="4:5" x14ac:dyDescent="0.25">
      <c r="D103" s="89"/>
      <c r="E103" s="89"/>
    </row>
    <row r="104" spans="4:5" x14ac:dyDescent="0.25">
      <c r="D104" s="89"/>
      <c r="E104" s="89"/>
    </row>
    <row r="105" spans="4:5" x14ac:dyDescent="0.25">
      <c r="D105" s="89"/>
      <c r="E105" s="89"/>
    </row>
    <row r="106" spans="4:5" x14ac:dyDescent="0.25">
      <c r="D106" s="89"/>
      <c r="E106" s="89"/>
    </row>
    <row r="107" spans="4:5" x14ac:dyDescent="0.25">
      <c r="D107" s="89"/>
      <c r="E107" s="89"/>
    </row>
    <row r="108" spans="4:5" x14ac:dyDescent="0.25">
      <c r="D108" s="89"/>
      <c r="E108" s="89"/>
    </row>
    <row r="109" spans="4:5" x14ac:dyDescent="0.25">
      <c r="D109" s="89"/>
      <c r="E109" s="89"/>
    </row>
    <row r="110" spans="4:5" x14ac:dyDescent="0.25">
      <c r="D110" s="89"/>
      <c r="E110" s="89"/>
    </row>
    <row r="111" spans="4:5" x14ac:dyDescent="0.25">
      <c r="D111" s="89"/>
      <c r="E111" s="89"/>
    </row>
    <row r="112" spans="4:5" x14ac:dyDescent="0.25">
      <c r="D112" s="89"/>
      <c r="E112" s="89"/>
    </row>
    <row r="113" spans="4:5" x14ac:dyDescent="0.25">
      <c r="D113" s="89"/>
      <c r="E113" s="89"/>
    </row>
  </sheetData>
  <mergeCells count="2">
    <mergeCell ref="A14:E14"/>
    <mergeCell ref="D42:E42"/>
  </mergeCells>
  <printOptions horizontalCentered="1"/>
  <pageMargins left="0" right="0" top="1" bottom="0.5" header="0.3" footer="0.3"/>
  <pageSetup paperSize="9" scale="91" fitToHeight="100" orientation="portrait" r:id="rId1"/>
  <headerFooter>
    <oddHeader>&amp;C&amp;"-,Bold"&amp;14C&amp;E FARMING - SUMMARY REPORT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D111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.28515625" style="26" customWidth="1"/>
    <col min="2" max="2" width="42.7109375" style="27" customWidth="1"/>
    <col min="3" max="3" width="46.28515625" style="16" customWidth="1"/>
    <col min="4" max="4" width="16.28515625" style="14" customWidth="1"/>
  </cols>
  <sheetData>
    <row r="1" spans="1:4" x14ac:dyDescent="0.25">
      <c r="A1" s="22"/>
      <c r="B1" s="13"/>
      <c r="C1" s="17"/>
      <c r="D1" s="17"/>
    </row>
    <row r="2" spans="1:4" x14ac:dyDescent="0.25">
      <c r="A2" s="23"/>
      <c r="B2" s="24"/>
      <c r="C2" s="12"/>
    </row>
    <row r="3" spans="1:4" x14ac:dyDescent="0.25">
      <c r="A3" s="23"/>
      <c r="B3" s="24"/>
      <c r="C3" s="12"/>
    </row>
    <row r="4" spans="1:4" x14ac:dyDescent="0.25">
      <c r="A4" s="23"/>
      <c r="B4" s="24"/>
      <c r="C4" s="12"/>
    </row>
    <row r="5" spans="1:4" x14ac:dyDescent="0.25">
      <c r="A5" s="23"/>
      <c r="B5" s="24"/>
      <c r="C5" s="12"/>
    </row>
    <row r="6" spans="1:4" x14ac:dyDescent="0.25">
      <c r="A6" s="23"/>
      <c r="B6" s="24"/>
      <c r="C6" s="12"/>
    </row>
    <row r="7" spans="1:4" x14ac:dyDescent="0.25">
      <c r="A7" s="23"/>
      <c r="B7" s="24"/>
      <c r="C7" s="12"/>
    </row>
    <row r="8" spans="1:4" x14ac:dyDescent="0.25">
      <c r="A8" s="25"/>
      <c r="B8" s="30"/>
    </row>
    <row r="9" spans="1:4" x14ac:dyDescent="0.25">
      <c r="A9" s="25"/>
      <c r="B9" s="30"/>
    </row>
    <row r="10" spans="1:4" x14ac:dyDescent="0.25">
      <c r="A10" s="25"/>
      <c r="B10" s="30"/>
    </row>
    <row r="11" spans="1:4" x14ac:dyDescent="0.25">
      <c r="A11" s="25"/>
      <c r="B11" s="30"/>
    </row>
    <row r="12" spans="1:4" x14ac:dyDescent="0.25">
      <c r="A12" s="25"/>
      <c r="B12" s="30"/>
    </row>
    <row r="13" spans="1:4" x14ac:dyDescent="0.25">
      <c r="A13" s="25"/>
      <c r="B13" s="30"/>
    </row>
    <row r="14" spans="1:4" x14ac:dyDescent="0.25">
      <c r="A14" s="25"/>
      <c r="B14" s="30"/>
    </row>
    <row r="15" spans="1:4" x14ac:dyDescent="0.25">
      <c r="A15" s="25"/>
      <c r="B15" s="30"/>
    </row>
    <row r="16" spans="1:4" x14ac:dyDescent="0.25">
      <c r="A16" s="25"/>
      <c r="B16" s="30"/>
    </row>
    <row r="17" spans="1:2" x14ac:dyDescent="0.25">
      <c r="A17" s="25"/>
      <c r="B17" s="30"/>
    </row>
    <row r="18" spans="1:2" x14ac:dyDescent="0.25">
      <c r="A18" s="25"/>
      <c r="B18" s="30"/>
    </row>
    <row r="19" spans="1:2" x14ac:dyDescent="0.25">
      <c r="A19" s="25"/>
      <c r="B19" s="30"/>
    </row>
    <row r="20" spans="1:2" x14ac:dyDescent="0.25">
      <c r="A20" s="25"/>
      <c r="B20" s="30"/>
    </row>
    <row r="21" spans="1:2" x14ac:dyDescent="0.25">
      <c r="A21" s="25"/>
      <c r="B21" s="30"/>
    </row>
    <row r="22" spans="1:2" x14ac:dyDescent="0.25">
      <c r="A22" s="25"/>
      <c r="B22" s="30"/>
    </row>
    <row r="23" spans="1:2" x14ac:dyDescent="0.25">
      <c r="A23" s="25"/>
      <c r="B23" s="30"/>
    </row>
    <row r="24" spans="1:2" x14ac:dyDescent="0.25">
      <c r="A24" s="25"/>
      <c r="B24" s="30"/>
    </row>
    <row r="25" spans="1:2" x14ac:dyDescent="0.25">
      <c r="A25" s="25"/>
      <c r="B25" s="30"/>
    </row>
    <row r="26" spans="1:2" x14ac:dyDescent="0.25">
      <c r="A26" s="25"/>
      <c r="B26" s="30"/>
    </row>
    <row r="27" spans="1:2" x14ac:dyDescent="0.25">
      <c r="A27" s="25"/>
      <c r="B27" s="30"/>
    </row>
    <row r="28" spans="1:2" x14ac:dyDescent="0.25">
      <c r="A28" s="25"/>
      <c r="B28" s="30"/>
    </row>
    <row r="29" spans="1:2" x14ac:dyDescent="0.25">
      <c r="A29" s="25"/>
      <c r="B29" s="30"/>
    </row>
    <row r="30" spans="1:2" x14ac:dyDescent="0.25">
      <c r="A30" s="25"/>
      <c r="B30" s="30"/>
    </row>
    <row r="31" spans="1:2" x14ac:dyDescent="0.25">
      <c r="A31" s="25"/>
      <c r="B31" s="30"/>
    </row>
    <row r="32" spans="1:2" x14ac:dyDescent="0.25">
      <c r="A32" s="25"/>
      <c r="B32" s="30"/>
    </row>
    <row r="33" spans="1:3" x14ac:dyDescent="0.25">
      <c r="A33" s="25"/>
      <c r="B33" s="30"/>
    </row>
    <row r="34" spans="1:3" x14ac:dyDescent="0.25">
      <c r="A34" s="25"/>
      <c r="B34" s="30"/>
    </row>
    <row r="35" spans="1:3" x14ac:dyDescent="0.25">
      <c r="A35" s="25"/>
      <c r="B35" s="30"/>
    </row>
    <row r="36" spans="1:3" x14ac:dyDescent="0.25">
      <c r="A36" s="25"/>
      <c r="B36" s="30"/>
    </row>
    <row r="37" spans="1:3" x14ac:dyDescent="0.25">
      <c r="A37" s="25"/>
      <c r="B37" s="30"/>
    </row>
    <row r="38" spans="1:3" x14ac:dyDescent="0.25">
      <c r="A38" s="25"/>
      <c r="B38" s="30"/>
    </row>
    <row r="39" spans="1:3" x14ac:dyDescent="0.25">
      <c r="A39" s="25"/>
      <c r="B39" s="30"/>
    </row>
    <row r="40" spans="1:3" x14ac:dyDescent="0.25">
      <c r="A40" s="25"/>
      <c r="B40" s="30"/>
    </row>
    <row r="41" spans="1:3" x14ac:dyDescent="0.25">
      <c r="A41" s="25"/>
      <c r="B41" s="30"/>
    </row>
    <row r="42" spans="1:3" x14ac:dyDescent="0.25">
      <c r="A42" s="25"/>
      <c r="B42" s="30"/>
    </row>
    <row r="43" spans="1:3" x14ac:dyDescent="0.25">
      <c r="A43" s="25"/>
      <c r="B43" s="30"/>
    </row>
    <row r="44" spans="1:3" x14ac:dyDescent="0.25">
      <c r="A44" s="25"/>
      <c r="B44" s="30"/>
    </row>
    <row r="45" spans="1:3" x14ac:dyDescent="0.25">
      <c r="A45" s="25"/>
      <c r="B45" s="30"/>
    </row>
    <row r="46" spans="1:3" x14ac:dyDescent="0.25">
      <c r="A46" s="25"/>
      <c r="B46" s="30"/>
    </row>
    <row r="48" spans="1:3" x14ac:dyDescent="0.25">
      <c r="A48" s="25"/>
      <c r="B48" s="30"/>
      <c r="C48" s="12"/>
    </row>
    <row r="49" spans="1:3" x14ac:dyDescent="0.25">
      <c r="A49" s="25"/>
      <c r="B49" s="30"/>
      <c r="C49" s="12"/>
    </row>
    <row r="50" spans="1:3" x14ac:dyDescent="0.25">
      <c r="A50" s="25"/>
      <c r="B50" s="30"/>
      <c r="C50" s="12"/>
    </row>
    <row r="51" spans="1:3" x14ac:dyDescent="0.25">
      <c r="A51" s="25"/>
      <c r="B51" s="30"/>
      <c r="C51" s="12"/>
    </row>
    <row r="52" spans="1:3" x14ac:dyDescent="0.25">
      <c r="A52" s="25"/>
      <c r="B52" s="30"/>
      <c r="C52" s="12"/>
    </row>
    <row r="53" spans="1:3" x14ac:dyDescent="0.25">
      <c r="A53" s="25"/>
      <c r="B53" s="30"/>
      <c r="C53" s="12"/>
    </row>
    <row r="54" spans="1:3" x14ac:dyDescent="0.25">
      <c r="A54" s="25"/>
      <c r="B54" s="30"/>
      <c r="C54" s="12"/>
    </row>
    <row r="61" spans="1:3" x14ac:dyDescent="0.25">
      <c r="A61" s="25"/>
      <c r="B61" s="30"/>
      <c r="C61" s="12"/>
    </row>
    <row r="62" spans="1:3" x14ac:dyDescent="0.25">
      <c r="A62" s="25"/>
      <c r="B62" s="30"/>
      <c r="C62" s="12"/>
    </row>
    <row r="63" spans="1:3" x14ac:dyDescent="0.25">
      <c r="A63" s="25"/>
      <c r="B63" s="30"/>
      <c r="C63" s="12"/>
    </row>
    <row r="64" spans="1:3" x14ac:dyDescent="0.25">
      <c r="A64" s="25"/>
      <c r="B64" s="30"/>
      <c r="C64" s="12"/>
    </row>
    <row r="65" spans="1:3" x14ac:dyDescent="0.25">
      <c r="A65" s="25"/>
      <c r="B65" s="30"/>
      <c r="C65" s="12"/>
    </row>
    <row r="66" spans="1:3" x14ac:dyDescent="0.25">
      <c r="A66" s="25"/>
      <c r="B66" s="30"/>
      <c r="C66" s="12"/>
    </row>
    <row r="67" spans="1:3" x14ac:dyDescent="0.25">
      <c r="A67" s="25"/>
      <c r="B67" s="30"/>
      <c r="C67" s="12"/>
    </row>
    <row r="68" spans="1:3" x14ac:dyDescent="0.25">
      <c r="A68" s="25"/>
      <c r="B68" s="30"/>
      <c r="C68" s="12"/>
    </row>
    <row r="69" spans="1:3" x14ac:dyDescent="0.25">
      <c r="A69" s="25"/>
      <c r="B69" s="30"/>
      <c r="C69" s="12"/>
    </row>
    <row r="70" spans="1:3" x14ac:dyDescent="0.25">
      <c r="A70" s="25"/>
      <c r="B70" s="30"/>
      <c r="C70" s="12"/>
    </row>
    <row r="71" spans="1:3" x14ac:dyDescent="0.25">
      <c r="A71" s="25"/>
      <c r="B71" s="30"/>
      <c r="C71" s="12"/>
    </row>
    <row r="72" spans="1:3" x14ac:dyDescent="0.25">
      <c r="A72" s="25"/>
      <c r="B72" s="30"/>
      <c r="C72" s="12"/>
    </row>
    <row r="73" spans="1:3" x14ac:dyDescent="0.25">
      <c r="A73" s="25"/>
      <c r="B73" s="30"/>
      <c r="C73" s="12"/>
    </row>
    <row r="74" spans="1:3" x14ac:dyDescent="0.25">
      <c r="A74" s="25"/>
      <c r="B74" s="30"/>
      <c r="C74" s="12"/>
    </row>
    <row r="75" spans="1:3" x14ac:dyDescent="0.25">
      <c r="A75" s="25"/>
      <c r="B75" s="30"/>
      <c r="C75" s="12"/>
    </row>
    <row r="76" spans="1:3" x14ac:dyDescent="0.25">
      <c r="A76" s="25"/>
      <c r="B76" s="30"/>
      <c r="C76" s="12"/>
    </row>
    <row r="77" spans="1:3" x14ac:dyDescent="0.25">
      <c r="A77" s="25"/>
      <c r="B77" s="30"/>
      <c r="C77" s="12"/>
    </row>
    <row r="78" spans="1:3" x14ac:dyDescent="0.25">
      <c r="A78" s="25"/>
      <c r="B78" s="30"/>
      <c r="C78" s="12"/>
    </row>
    <row r="79" spans="1:3" x14ac:dyDescent="0.25">
      <c r="A79" s="25"/>
      <c r="B79" s="30"/>
      <c r="C79" s="12"/>
    </row>
    <row r="80" spans="1:3" x14ac:dyDescent="0.25">
      <c r="A80" s="25"/>
      <c r="B80" s="30"/>
      <c r="C80" s="12"/>
    </row>
    <row r="81" spans="1:3" x14ac:dyDescent="0.25">
      <c r="A81" s="25"/>
      <c r="B81" s="30"/>
      <c r="C81" s="12"/>
    </row>
    <row r="82" spans="1:3" x14ac:dyDescent="0.25">
      <c r="A82" s="25"/>
      <c r="B82" s="30"/>
      <c r="C82" s="12"/>
    </row>
    <row r="83" spans="1:3" x14ac:dyDescent="0.25">
      <c r="A83" s="25"/>
      <c r="B83" s="30"/>
      <c r="C83" s="12"/>
    </row>
    <row r="84" spans="1:3" x14ac:dyDescent="0.25">
      <c r="A84" s="25"/>
      <c r="B84" s="30"/>
      <c r="C84" s="12"/>
    </row>
    <row r="85" spans="1:3" x14ac:dyDescent="0.25">
      <c r="A85" s="25"/>
      <c r="B85" s="30"/>
      <c r="C85" s="12"/>
    </row>
    <row r="86" spans="1:3" x14ac:dyDescent="0.25">
      <c r="A86" s="25"/>
      <c r="B86" s="30"/>
      <c r="C86" s="12"/>
    </row>
    <row r="87" spans="1:3" x14ac:dyDescent="0.25">
      <c r="A87" s="25"/>
      <c r="B87" s="30"/>
      <c r="C87" s="12"/>
    </row>
    <row r="88" spans="1:3" x14ac:dyDescent="0.25">
      <c r="A88" s="25"/>
      <c r="B88" s="30"/>
      <c r="C88" s="12"/>
    </row>
    <row r="89" spans="1:3" x14ac:dyDescent="0.25">
      <c r="A89" s="25"/>
      <c r="B89" s="30"/>
      <c r="C89" s="12"/>
    </row>
    <row r="90" spans="1:3" x14ac:dyDescent="0.25">
      <c r="A90" s="25"/>
      <c r="B90" s="30"/>
      <c r="C90" s="12"/>
    </row>
    <row r="91" spans="1:3" x14ac:dyDescent="0.25">
      <c r="A91" s="25"/>
      <c r="B91" s="30"/>
      <c r="C91" s="12"/>
    </row>
    <row r="92" spans="1:3" x14ac:dyDescent="0.25">
      <c r="A92" s="25"/>
      <c r="B92" s="30"/>
      <c r="C92" s="12"/>
    </row>
    <row r="93" spans="1:3" x14ac:dyDescent="0.25">
      <c r="A93" s="25"/>
      <c r="B93" s="30"/>
      <c r="C93" s="12"/>
    </row>
    <row r="94" spans="1:3" x14ac:dyDescent="0.25">
      <c r="A94" s="25"/>
      <c r="B94" s="30"/>
      <c r="C94" s="12"/>
    </row>
    <row r="95" spans="1:3" x14ac:dyDescent="0.25">
      <c r="A95" s="25"/>
      <c r="B95" s="30"/>
      <c r="C95" s="12"/>
    </row>
    <row r="96" spans="1:3" x14ac:dyDescent="0.25">
      <c r="A96" s="25"/>
      <c r="B96" s="30"/>
      <c r="C96" s="12"/>
    </row>
    <row r="97" spans="1:3" x14ac:dyDescent="0.25">
      <c r="A97" s="25"/>
      <c r="B97" s="30"/>
      <c r="C97" s="12"/>
    </row>
    <row r="98" spans="1:3" x14ac:dyDescent="0.25">
      <c r="A98" s="25"/>
      <c r="B98" s="30"/>
      <c r="C98" s="12"/>
    </row>
    <row r="99" spans="1:3" x14ac:dyDescent="0.25">
      <c r="A99" s="25"/>
      <c r="B99" s="30"/>
      <c r="C99" s="12"/>
    </row>
    <row r="100" spans="1:3" x14ac:dyDescent="0.25">
      <c r="A100" s="25"/>
      <c r="B100" s="30"/>
      <c r="C100" s="12"/>
    </row>
    <row r="101" spans="1:3" x14ac:dyDescent="0.25">
      <c r="A101" s="25"/>
      <c r="B101" s="30"/>
      <c r="C101" s="12"/>
    </row>
    <row r="102" spans="1:3" x14ac:dyDescent="0.25">
      <c r="A102" s="25"/>
      <c r="B102" s="30"/>
      <c r="C102" s="12"/>
    </row>
    <row r="103" spans="1:3" x14ac:dyDescent="0.25">
      <c r="A103" s="25"/>
      <c r="B103" s="30"/>
      <c r="C103" s="12"/>
    </row>
    <row r="104" spans="1:3" x14ac:dyDescent="0.25">
      <c r="A104" s="25"/>
      <c r="B104" s="30"/>
      <c r="C104" s="12"/>
    </row>
    <row r="105" spans="1:3" x14ac:dyDescent="0.25">
      <c r="A105" s="25"/>
      <c r="B105" s="30"/>
      <c r="C105" s="12"/>
    </row>
    <row r="106" spans="1:3" x14ac:dyDescent="0.25">
      <c r="A106" s="25"/>
      <c r="B106" s="30"/>
      <c r="C106" s="12"/>
    </row>
    <row r="107" spans="1:3" x14ac:dyDescent="0.25">
      <c r="A107" s="25"/>
      <c r="B107" s="30"/>
      <c r="C107" s="12"/>
    </row>
    <row r="108" spans="1:3" x14ac:dyDescent="0.25">
      <c r="A108" s="25"/>
      <c r="B108" s="30"/>
      <c r="C108" s="12"/>
    </row>
    <row r="109" spans="1:3" x14ac:dyDescent="0.25">
      <c r="A109" s="25"/>
      <c r="B109" s="30"/>
      <c r="C109" s="12"/>
    </row>
    <row r="110" spans="1:3" x14ac:dyDescent="0.25">
      <c r="A110" s="25"/>
      <c r="B110" s="30"/>
      <c r="C110" s="12"/>
    </row>
    <row r="111" spans="1:3" x14ac:dyDescent="0.25">
      <c r="A111" s="25"/>
      <c r="B111" s="30"/>
      <c r="C111" s="12"/>
    </row>
  </sheetData>
  <printOptions horizontalCentered="1" gridLines="1"/>
  <pageMargins left="0" right="0" top="0.75" bottom="0.5" header="0.3" footer="0.3"/>
  <pageSetup paperSize="9" scale="83" fitToHeight="100" orientation="portrait" r:id="rId1"/>
  <headerFooter>
    <oddHeader>&amp;C&amp;12DETAILED LIST OF CREDITORS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H112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.140625" style="26" customWidth="1"/>
    <col min="2" max="2" width="13.85546875" style="33" customWidth="1"/>
    <col min="3" max="3" width="37.85546875" style="27" customWidth="1"/>
    <col min="4" max="4" width="36.7109375" style="16" customWidth="1"/>
    <col min="5" max="5" width="16.7109375" style="14" customWidth="1"/>
    <col min="6" max="6" width="15.85546875" style="26" customWidth="1"/>
    <col min="7" max="7" width="15.85546875" style="34" bestFit="1" customWidth="1"/>
    <col min="8" max="16384" width="9.140625" style="12"/>
  </cols>
  <sheetData>
    <row r="1" spans="1:8" s="13" customFormat="1" x14ac:dyDescent="0.25">
      <c r="A1" s="22"/>
      <c r="D1" s="17"/>
      <c r="E1" s="17"/>
      <c r="F1" s="22"/>
      <c r="G1" s="31"/>
    </row>
    <row r="2" spans="1:8" x14ac:dyDescent="0.25">
      <c r="A2" s="23"/>
      <c r="B2" s="3"/>
      <c r="C2" s="24"/>
      <c r="D2" s="12"/>
      <c r="F2" s="23"/>
      <c r="G2" s="32"/>
    </row>
    <row r="3" spans="1:8" x14ac:dyDescent="0.25">
      <c r="A3" s="23"/>
      <c r="B3" s="3"/>
      <c r="C3" s="24"/>
      <c r="D3" s="12"/>
      <c r="F3" s="23"/>
      <c r="G3" s="32"/>
    </row>
    <row r="4" spans="1:8" x14ac:dyDescent="0.25">
      <c r="A4" s="23"/>
      <c r="B4" s="3"/>
      <c r="C4" s="24"/>
      <c r="D4" s="12"/>
      <c r="F4" s="23"/>
      <c r="G4" s="32"/>
    </row>
    <row r="5" spans="1:8" x14ac:dyDescent="0.25">
      <c r="A5" s="23"/>
      <c r="B5" s="3"/>
      <c r="C5" s="24"/>
      <c r="D5" s="12"/>
      <c r="F5" s="23"/>
      <c r="G5" s="32"/>
    </row>
    <row r="6" spans="1:8" x14ac:dyDescent="0.25">
      <c r="A6" s="23"/>
      <c r="B6" s="3"/>
      <c r="C6" s="24"/>
      <c r="D6" s="12"/>
      <c r="F6" s="23"/>
      <c r="G6" s="32"/>
      <c r="H6" s="14"/>
    </row>
    <row r="7" spans="1:8" x14ac:dyDescent="0.25">
      <c r="A7" s="23"/>
      <c r="B7" s="3"/>
      <c r="C7" s="24"/>
      <c r="D7" s="12"/>
      <c r="F7" s="23"/>
      <c r="G7" s="32"/>
      <c r="H7" s="14"/>
    </row>
    <row r="8" spans="1:8" x14ac:dyDescent="0.25">
      <c r="A8" s="23"/>
      <c r="B8" s="3"/>
      <c r="C8" s="24"/>
      <c r="D8" s="12"/>
      <c r="F8" s="23"/>
      <c r="G8" s="32"/>
      <c r="H8" s="14"/>
    </row>
    <row r="9" spans="1:8" x14ac:dyDescent="0.25">
      <c r="A9" s="23"/>
      <c r="B9" s="3"/>
      <c r="C9" s="24"/>
      <c r="D9" s="12"/>
      <c r="F9" s="23"/>
      <c r="G9" s="32"/>
    </row>
    <row r="10" spans="1:8" x14ac:dyDescent="0.25">
      <c r="A10" s="23"/>
      <c r="B10" s="3"/>
      <c r="C10" s="24"/>
      <c r="D10" s="12"/>
      <c r="F10" s="23"/>
      <c r="G10" s="32"/>
      <c r="H10" s="14"/>
    </row>
    <row r="11" spans="1:8" x14ac:dyDescent="0.25">
      <c r="A11" s="23"/>
      <c r="B11" s="3"/>
      <c r="C11" s="24"/>
      <c r="D11" s="12"/>
      <c r="F11" s="23"/>
      <c r="G11" s="32"/>
      <c r="H11" s="14"/>
    </row>
    <row r="12" spans="1:8" x14ac:dyDescent="0.25">
      <c r="A12" s="23"/>
      <c r="B12" s="3"/>
      <c r="C12" s="24"/>
      <c r="D12" s="12"/>
      <c r="F12" s="23"/>
      <c r="G12" s="32"/>
      <c r="H12" s="14"/>
    </row>
    <row r="13" spans="1:8" x14ac:dyDescent="0.25">
      <c r="A13" s="23"/>
      <c r="B13" s="3"/>
      <c r="C13" s="24"/>
      <c r="D13" s="12"/>
      <c r="F13" s="23"/>
      <c r="G13" s="32"/>
      <c r="H13" s="14"/>
    </row>
    <row r="14" spans="1:8" x14ac:dyDescent="0.25">
      <c r="A14" s="23"/>
      <c r="B14" s="3"/>
      <c r="C14" s="24"/>
      <c r="D14" s="12"/>
      <c r="F14" s="23"/>
      <c r="G14" s="32"/>
    </row>
    <row r="15" spans="1:8" x14ac:dyDescent="0.25">
      <c r="A15" s="23"/>
      <c r="B15" s="3"/>
      <c r="C15" s="24"/>
      <c r="D15" s="12"/>
      <c r="F15" s="23"/>
      <c r="G15" s="32"/>
      <c r="H15" s="14"/>
    </row>
    <row r="16" spans="1:8" x14ac:dyDescent="0.25">
      <c r="A16" s="25"/>
      <c r="B16" s="3"/>
      <c r="C16" s="30"/>
      <c r="F16" s="25"/>
      <c r="G16" s="32"/>
    </row>
    <row r="17" spans="1:7" x14ac:dyDescent="0.25">
      <c r="A17" s="25"/>
      <c r="B17" s="3"/>
      <c r="C17" s="30"/>
      <c r="F17" s="25"/>
      <c r="G17" s="32"/>
    </row>
    <row r="18" spans="1:7" x14ac:dyDescent="0.25">
      <c r="A18" s="25"/>
      <c r="B18" s="3"/>
      <c r="C18" s="30"/>
      <c r="F18" s="25"/>
      <c r="G18" s="32"/>
    </row>
    <row r="19" spans="1:7" x14ac:dyDescent="0.25">
      <c r="A19" s="25"/>
      <c r="B19" s="3"/>
      <c r="C19" s="30"/>
      <c r="F19" s="25"/>
      <c r="G19" s="32"/>
    </row>
    <row r="20" spans="1:7" x14ac:dyDescent="0.25">
      <c r="A20" s="25"/>
      <c r="B20" s="3"/>
      <c r="C20" s="30"/>
      <c r="F20" s="25"/>
      <c r="G20" s="32"/>
    </row>
    <row r="21" spans="1:7" x14ac:dyDescent="0.25">
      <c r="A21" s="25"/>
      <c r="B21" s="3"/>
      <c r="C21" s="30"/>
      <c r="F21" s="25"/>
      <c r="G21" s="32"/>
    </row>
    <row r="22" spans="1:7" x14ac:dyDescent="0.25">
      <c r="A22" s="25"/>
      <c r="B22" s="3"/>
      <c r="C22" s="30"/>
      <c r="F22" s="25"/>
      <c r="G22" s="32"/>
    </row>
    <row r="23" spans="1:7" x14ac:dyDescent="0.25">
      <c r="A23" s="25"/>
      <c r="B23" s="3"/>
      <c r="C23" s="30"/>
      <c r="F23" s="25"/>
      <c r="G23" s="32"/>
    </row>
    <row r="24" spans="1:7" x14ac:dyDescent="0.25">
      <c r="A24" s="25"/>
      <c r="B24" s="3"/>
      <c r="C24" s="30"/>
      <c r="F24" s="25"/>
      <c r="G24" s="32"/>
    </row>
    <row r="25" spans="1:7" x14ac:dyDescent="0.25">
      <c r="A25" s="25"/>
      <c r="B25" s="3"/>
      <c r="C25" s="30"/>
      <c r="F25" s="25"/>
      <c r="G25" s="32"/>
    </row>
    <row r="26" spans="1:7" x14ac:dyDescent="0.25">
      <c r="A26" s="25"/>
      <c r="B26" s="3"/>
      <c r="C26" s="30"/>
      <c r="F26" s="25"/>
      <c r="G26" s="32"/>
    </row>
    <row r="27" spans="1:7" x14ac:dyDescent="0.25">
      <c r="A27" s="25"/>
      <c r="B27" s="3"/>
      <c r="C27" s="30"/>
      <c r="F27" s="25"/>
      <c r="G27" s="32"/>
    </row>
    <row r="28" spans="1:7" x14ac:dyDescent="0.25">
      <c r="A28" s="25"/>
      <c r="B28" s="3"/>
      <c r="C28" s="30"/>
      <c r="F28" s="25"/>
      <c r="G28" s="32"/>
    </row>
    <row r="29" spans="1:7" x14ac:dyDescent="0.25">
      <c r="A29" s="25"/>
      <c r="B29" s="3"/>
      <c r="C29" s="30"/>
      <c r="F29" s="25"/>
      <c r="G29" s="32"/>
    </row>
    <row r="30" spans="1:7" x14ac:dyDescent="0.25">
      <c r="A30" s="25"/>
      <c r="B30" s="3"/>
      <c r="C30" s="30"/>
      <c r="F30" s="25"/>
      <c r="G30" s="32"/>
    </row>
    <row r="31" spans="1:7" x14ac:dyDescent="0.25">
      <c r="A31" s="25"/>
      <c r="B31" s="3"/>
      <c r="C31" s="30"/>
      <c r="F31" s="25"/>
      <c r="G31" s="32"/>
    </row>
    <row r="32" spans="1:7" x14ac:dyDescent="0.25">
      <c r="A32" s="25"/>
      <c r="B32" s="3"/>
      <c r="C32" s="30"/>
      <c r="F32" s="25"/>
      <c r="G32" s="32"/>
    </row>
    <row r="33" spans="1:7" x14ac:dyDescent="0.25">
      <c r="A33" s="25"/>
      <c r="B33" s="3"/>
      <c r="C33" s="30"/>
      <c r="F33" s="25"/>
      <c r="G33" s="32"/>
    </row>
    <row r="34" spans="1:7" x14ac:dyDescent="0.25">
      <c r="A34" s="25"/>
      <c r="B34" s="3"/>
      <c r="C34" s="30"/>
      <c r="F34" s="25"/>
      <c r="G34" s="32"/>
    </row>
    <row r="35" spans="1:7" x14ac:dyDescent="0.25">
      <c r="A35" s="25"/>
      <c r="B35" s="3"/>
      <c r="C35" s="30"/>
      <c r="F35" s="25"/>
      <c r="G35" s="32"/>
    </row>
    <row r="36" spans="1:7" x14ac:dyDescent="0.25">
      <c r="A36" s="25"/>
      <c r="B36" s="3"/>
      <c r="C36" s="30"/>
      <c r="F36" s="25"/>
      <c r="G36" s="32"/>
    </row>
    <row r="37" spans="1:7" x14ac:dyDescent="0.25">
      <c r="A37" s="25"/>
      <c r="B37" s="3"/>
      <c r="C37" s="30"/>
      <c r="F37" s="25"/>
      <c r="G37" s="32"/>
    </row>
    <row r="38" spans="1:7" x14ac:dyDescent="0.25">
      <c r="A38" s="25"/>
      <c r="B38" s="3"/>
      <c r="C38" s="30"/>
      <c r="F38" s="25"/>
      <c r="G38" s="32"/>
    </row>
    <row r="39" spans="1:7" x14ac:dyDescent="0.25">
      <c r="A39" s="25"/>
      <c r="B39" s="3"/>
      <c r="C39" s="30"/>
      <c r="F39" s="25"/>
      <c r="G39" s="32"/>
    </row>
    <row r="40" spans="1:7" x14ac:dyDescent="0.25">
      <c r="A40" s="25"/>
      <c r="B40" s="3"/>
      <c r="C40" s="30"/>
      <c r="F40" s="25"/>
      <c r="G40" s="32"/>
    </row>
    <row r="41" spans="1:7" x14ac:dyDescent="0.25">
      <c r="A41" s="25"/>
      <c r="B41" s="3"/>
      <c r="C41" s="30"/>
      <c r="F41" s="25"/>
      <c r="G41" s="32"/>
    </row>
    <row r="42" spans="1:7" x14ac:dyDescent="0.25">
      <c r="A42" s="25"/>
      <c r="B42" s="3"/>
      <c r="C42" s="30"/>
      <c r="F42" s="25"/>
      <c r="G42" s="32"/>
    </row>
    <row r="43" spans="1:7" x14ac:dyDescent="0.25">
      <c r="A43" s="25"/>
      <c r="B43" s="3"/>
      <c r="C43" s="30"/>
      <c r="F43" s="25"/>
      <c r="G43" s="32"/>
    </row>
    <row r="44" spans="1:7" x14ac:dyDescent="0.25">
      <c r="A44" s="25"/>
      <c r="B44" s="3"/>
      <c r="C44" s="30"/>
      <c r="F44" s="25"/>
      <c r="G44" s="32"/>
    </row>
    <row r="45" spans="1:7" x14ac:dyDescent="0.25">
      <c r="A45" s="25"/>
      <c r="B45" s="3"/>
      <c r="C45" s="30"/>
      <c r="F45" s="25"/>
      <c r="G45" s="32"/>
    </row>
    <row r="46" spans="1:7" x14ac:dyDescent="0.25">
      <c r="A46" s="25"/>
      <c r="B46" s="3"/>
      <c r="C46" s="30"/>
      <c r="F46" s="25"/>
      <c r="G46" s="32"/>
    </row>
    <row r="47" spans="1:7" x14ac:dyDescent="0.25">
      <c r="A47" s="25"/>
      <c r="B47" s="3"/>
      <c r="C47" s="30"/>
      <c r="F47" s="25"/>
      <c r="G47" s="32"/>
    </row>
    <row r="48" spans="1:7" x14ac:dyDescent="0.25">
      <c r="B48" s="3"/>
    </row>
    <row r="49" spans="1:7" x14ac:dyDescent="0.25">
      <c r="A49" s="25"/>
      <c r="B49" s="3"/>
      <c r="C49" s="30"/>
      <c r="D49" s="12"/>
      <c r="F49" s="25"/>
      <c r="G49" s="32"/>
    </row>
    <row r="50" spans="1:7" x14ac:dyDescent="0.25">
      <c r="A50" s="25"/>
      <c r="B50" s="3"/>
      <c r="C50" s="30"/>
      <c r="D50" s="12"/>
      <c r="F50" s="25"/>
      <c r="G50" s="32"/>
    </row>
    <row r="51" spans="1:7" x14ac:dyDescent="0.25">
      <c r="A51" s="25"/>
      <c r="B51" s="3"/>
      <c r="C51" s="30"/>
      <c r="D51" s="12"/>
      <c r="F51" s="25"/>
      <c r="G51" s="32"/>
    </row>
    <row r="52" spans="1:7" x14ac:dyDescent="0.25">
      <c r="A52" s="25"/>
      <c r="B52" s="3"/>
      <c r="C52" s="30"/>
      <c r="D52" s="12"/>
      <c r="F52" s="25"/>
      <c r="G52" s="32"/>
    </row>
    <row r="53" spans="1:7" x14ac:dyDescent="0.25">
      <c r="A53" s="25"/>
      <c r="B53" s="3"/>
      <c r="C53" s="30"/>
      <c r="D53" s="12"/>
      <c r="F53" s="25"/>
      <c r="G53" s="32"/>
    </row>
    <row r="54" spans="1:7" x14ac:dyDescent="0.25">
      <c r="A54" s="25"/>
      <c r="B54" s="3"/>
      <c r="C54" s="30"/>
      <c r="D54" s="12"/>
      <c r="F54" s="25"/>
      <c r="G54" s="32"/>
    </row>
    <row r="55" spans="1:7" x14ac:dyDescent="0.25">
      <c r="A55" s="25"/>
      <c r="B55" s="3"/>
      <c r="C55" s="30"/>
      <c r="D55" s="12"/>
      <c r="F55" s="25"/>
      <c r="G55" s="32"/>
    </row>
    <row r="62" spans="1:7" x14ac:dyDescent="0.25">
      <c r="A62" s="25"/>
      <c r="B62" s="3"/>
      <c r="C62" s="30"/>
      <c r="D62" s="12"/>
      <c r="F62" s="25"/>
      <c r="G62" s="32"/>
    </row>
    <row r="63" spans="1:7" x14ac:dyDescent="0.25">
      <c r="A63" s="25"/>
      <c r="B63" s="3"/>
      <c r="C63" s="30"/>
      <c r="D63" s="12"/>
      <c r="F63" s="25"/>
      <c r="G63" s="32"/>
    </row>
    <row r="64" spans="1:7" x14ac:dyDescent="0.25">
      <c r="A64" s="25"/>
      <c r="B64" s="3"/>
      <c r="C64" s="30"/>
      <c r="D64" s="12"/>
      <c r="F64" s="25"/>
      <c r="G64" s="32"/>
    </row>
    <row r="65" spans="1:7" x14ac:dyDescent="0.25">
      <c r="A65" s="25"/>
      <c r="B65" s="3"/>
      <c r="C65" s="30"/>
      <c r="D65" s="12"/>
      <c r="F65" s="25"/>
      <c r="G65" s="32"/>
    </row>
    <row r="66" spans="1:7" x14ac:dyDescent="0.25">
      <c r="A66" s="25"/>
      <c r="B66" s="3"/>
      <c r="C66" s="30"/>
      <c r="D66" s="12"/>
      <c r="F66" s="25"/>
      <c r="G66" s="32"/>
    </row>
    <row r="67" spans="1:7" x14ac:dyDescent="0.25">
      <c r="A67" s="25"/>
      <c r="B67" s="3"/>
      <c r="C67" s="30"/>
      <c r="D67" s="12"/>
      <c r="F67" s="25"/>
      <c r="G67" s="32"/>
    </row>
    <row r="68" spans="1:7" x14ac:dyDescent="0.25">
      <c r="A68" s="25"/>
      <c r="B68" s="3"/>
      <c r="C68" s="30"/>
      <c r="D68" s="12"/>
      <c r="F68" s="25"/>
      <c r="G68" s="32"/>
    </row>
    <row r="69" spans="1:7" x14ac:dyDescent="0.25">
      <c r="A69" s="25"/>
      <c r="B69" s="3"/>
      <c r="C69" s="30"/>
      <c r="D69" s="12"/>
      <c r="F69" s="25"/>
      <c r="G69" s="32"/>
    </row>
    <row r="70" spans="1:7" x14ac:dyDescent="0.25">
      <c r="A70" s="25"/>
      <c r="B70" s="3"/>
      <c r="C70" s="30"/>
      <c r="D70" s="12"/>
      <c r="F70" s="25"/>
      <c r="G70" s="32"/>
    </row>
    <row r="71" spans="1:7" x14ac:dyDescent="0.25">
      <c r="A71" s="25"/>
      <c r="B71" s="3"/>
      <c r="C71" s="30"/>
      <c r="D71" s="12"/>
      <c r="F71" s="25"/>
      <c r="G71" s="32"/>
    </row>
    <row r="72" spans="1:7" x14ac:dyDescent="0.25">
      <c r="A72" s="25"/>
      <c r="B72" s="3"/>
      <c r="C72" s="30"/>
      <c r="D72" s="12"/>
      <c r="F72" s="25"/>
      <c r="G72" s="32"/>
    </row>
    <row r="73" spans="1:7" x14ac:dyDescent="0.25">
      <c r="A73" s="25"/>
      <c r="B73" s="3"/>
      <c r="C73" s="30"/>
      <c r="D73" s="12"/>
      <c r="F73" s="25"/>
      <c r="G73" s="32"/>
    </row>
    <row r="74" spans="1:7" x14ac:dyDescent="0.25">
      <c r="A74" s="25"/>
      <c r="B74" s="3"/>
      <c r="C74" s="30"/>
      <c r="D74" s="12"/>
      <c r="F74" s="25"/>
      <c r="G74" s="32"/>
    </row>
    <row r="75" spans="1:7" x14ac:dyDescent="0.25">
      <c r="A75" s="25"/>
      <c r="B75" s="3"/>
      <c r="C75" s="30"/>
      <c r="D75" s="12"/>
      <c r="F75" s="25"/>
      <c r="G75" s="32"/>
    </row>
    <row r="76" spans="1:7" x14ac:dyDescent="0.25">
      <c r="A76" s="25"/>
      <c r="B76" s="3"/>
      <c r="C76" s="30"/>
      <c r="D76" s="12"/>
      <c r="F76" s="25"/>
      <c r="G76" s="32"/>
    </row>
    <row r="77" spans="1:7" x14ac:dyDescent="0.25">
      <c r="A77" s="25"/>
      <c r="B77" s="3"/>
      <c r="C77" s="30"/>
      <c r="D77" s="12"/>
      <c r="F77" s="25"/>
      <c r="G77" s="32"/>
    </row>
    <row r="78" spans="1:7" x14ac:dyDescent="0.25">
      <c r="A78" s="25"/>
      <c r="B78" s="3"/>
      <c r="C78" s="30"/>
      <c r="D78" s="12"/>
      <c r="F78" s="25"/>
      <c r="G78" s="32"/>
    </row>
    <row r="79" spans="1:7" x14ac:dyDescent="0.25">
      <c r="A79" s="25"/>
      <c r="B79" s="3"/>
      <c r="C79" s="30"/>
      <c r="D79" s="12"/>
      <c r="F79" s="25"/>
      <c r="G79" s="32"/>
    </row>
    <row r="80" spans="1:7" x14ac:dyDescent="0.25">
      <c r="A80" s="25"/>
      <c r="B80" s="3"/>
      <c r="C80" s="30"/>
      <c r="D80" s="12"/>
      <c r="F80" s="25"/>
      <c r="G80" s="32"/>
    </row>
    <row r="81" spans="1:7" x14ac:dyDescent="0.25">
      <c r="A81" s="25"/>
      <c r="B81" s="3"/>
      <c r="C81" s="30"/>
      <c r="D81" s="12"/>
      <c r="F81" s="25"/>
      <c r="G81" s="32"/>
    </row>
    <row r="82" spans="1:7" x14ac:dyDescent="0.25">
      <c r="A82" s="25"/>
      <c r="B82" s="3"/>
      <c r="C82" s="30"/>
      <c r="D82" s="12"/>
      <c r="F82" s="25"/>
      <c r="G82" s="32"/>
    </row>
    <row r="83" spans="1:7" x14ac:dyDescent="0.25">
      <c r="A83" s="25"/>
      <c r="B83" s="3"/>
      <c r="C83" s="30"/>
      <c r="D83" s="12"/>
      <c r="F83" s="25"/>
      <c r="G83" s="32"/>
    </row>
    <row r="84" spans="1:7" x14ac:dyDescent="0.25">
      <c r="A84" s="25"/>
      <c r="B84" s="3"/>
      <c r="C84" s="30"/>
      <c r="D84" s="12"/>
      <c r="F84" s="25"/>
      <c r="G84" s="32"/>
    </row>
    <row r="85" spans="1:7" x14ac:dyDescent="0.25">
      <c r="A85" s="25"/>
      <c r="B85" s="3"/>
      <c r="C85" s="30"/>
      <c r="D85" s="12"/>
      <c r="F85" s="25"/>
      <c r="G85" s="32"/>
    </row>
    <row r="86" spans="1:7" x14ac:dyDescent="0.25">
      <c r="A86" s="25"/>
      <c r="B86" s="3"/>
      <c r="C86" s="30"/>
      <c r="D86" s="12"/>
      <c r="F86" s="25"/>
      <c r="G86" s="32"/>
    </row>
    <row r="87" spans="1:7" x14ac:dyDescent="0.25">
      <c r="A87" s="25"/>
      <c r="B87" s="3"/>
      <c r="C87" s="30"/>
      <c r="D87" s="12"/>
      <c r="F87" s="25"/>
      <c r="G87" s="32"/>
    </row>
    <row r="88" spans="1:7" x14ac:dyDescent="0.25">
      <c r="A88" s="25"/>
      <c r="B88" s="3"/>
      <c r="C88" s="30"/>
      <c r="D88" s="12"/>
      <c r="F88" s="25"/>
      <c r="G88" s="32"/>
    </row>
    <row r="89" spans="1:7" x14ac:dyDescent="0.25">
      <c r="A89" s="25"/>
      <c r="B89" s="3"/>
      <c r="C89" s="30"/>
      <c r="D89" s="12"/>
      <c r="F89" s="25"/>
      <c r="G89" s="32"/>
    </row>
    <row r="90" spans="1:7" x14ac:dyDescent="0.25">
      <c r="A90" s="25"/>
      <c r="B90" s="3"/>
      <c r="C90" s="30"/>
      <c r="D90" s="12"/>
      <c r="F90" s="25"/>
      <c r="G90" s="32"/>
    </row>
    <row r="91" spans="1:7" x14ac:dyDescent="0.25">
      <c r="A91" s="25"/>
      <c r="B91" s="3"/>
      <c r="C91" s="30"/>
      <c r="D91" s="12"/>
      <c r="F91" s="25"/>
      <c r="G91" s="32"/>
    </row>
    <row r="92" spans="1:7" x14ac:dyDescent="0.25">
      <c r="A92" s="25"/>
      <c r="B92" s="3"/>
      <c r="C92" s="30"/>
      <c r="D92" s="12"/>
      <c r="F92" s="25"/>
      <c r="G92" s="32"/>
    </row>
    <row r="93" spans="1:7" x14ac:dyDescent="0.25">
      <c r="A93" s="25"/>
      <c r="B93" s="3"/>
      <c r="C93" s="30"/>
      <c r="D93" s="12"/>
      <c r="F93" s="25"/>
      <c r="G93" s="32"/>
    </row>
    <row r="94" spans="1:7" x14ac:dyDescent="0.25">
      <c r="A94" s="25"/>
      <c r="B94" s="3"/>
      <c r="C94" s="30"/>
      <c r="D94" s="12"/>
      <c r="F94" s="25"/>
      <c r="G94" s="32"/>
    </row>
    <row r="95" spans="1:7" x14ac:dyDescent="0.25">
      <c r="A95" s="25"/>
      <c r="B95" s="3"/>
      <c r="C95" s="30"/>
      <c r="D95" s="12"/>
      <c r="F95" s="25"/>
      <c r="G95" s="32"/>
    </row>
    <row r="96" spans="1:7" x14ac:dyDescent="0.25">
      <c r="A96" s="25"/>
      <c r="B96" s="3"/>
      <c r="C96" s="30"/>
      <c r="D96" s="12"/>
      <c r="F96" s="25"/>
      <c r="G96" s="32"/>
    </row>
    <row r="97" spans="1:7" x14ac:dyDescent="0.25">
      <c r="A97" s="25"/>
      <c r="B97" s="3"/>
      <c r="C97" s="30"/>
      <c r="D97" s="12"/>
      <c r="F97" s="25"/>
      <c r="G97" s="32"/>
    </row>
    <row r="98" spans="1:7" x14ac:dyDescent="0.25">
      <c r="A98" s="25"/>
      <c r="B98" s="3"/>
      <c r="C98" s="30"/>
      <c r="D98" s="12"/>
      <c r="F98" s="25"/>
      <c r="G98" s="32"/>
    </row>
    <row r="99" spans="1:7" x14ac:dyDescent="0.25">
      <c r="A99" s="25"/>
      <c r="B99" s="3"/>
      <c r="C99" s="30"/>
      <c r="D99" s="12"/>
      <c r="F99" s="25"/>
      <c r="G99" s="32"/>
    </row>
    <row r="100" spans="1:7" x14ac:dyDescent="0.25">
      <c r="A100" s="25"/>
      <c r="B100" s="3"/>
      <c r="C100" s="30"/>
      <c r="D100" s="12"/>
      <c r="F100" s="25"/>
      <c r="G100" s="32"/>
    </row>
    <row r="101" spans="1:7" x14ac:dyDescent="0.25">
      <c r="A101" s="25"/>
      <c r="B101" s="3"/>
      <c r="C101" s="30"/>
      <c r="D101" s="12"/>
      <c r="F101" s="25"/>
      <c r="G101" s="32"/>
    </row>
    <row r="102" spans="1:7" x14ac:dyDescent="0.25">
      <c r="A102" s="25"/>
      <c r="B102" s="3"/>
      <c r="C102" s="30"/>
      <c r="D102" s="12"/>
      <c r="F102" s="25"/>
      <c r="G102" s="32"/>
    </row>
    <row r="103" spans="1:7" x14ac:dyDescent="0.25">
      <c r="A103" s="25"/>
      <c r="B103" s="3"/>
      <c r="C103" s="30"/>
      <c r="D103" s="12"/>
      <c r="F103" s="25"/>
      <c r="G103" s="32"/>
    </row>
    <row r="104" spans="1:7" x14ac:dyDescent="0.25">
      <c r="A104" s="25"/>
      <c r="B104" s="3"/>
      <c r="C104" s="30"/>
      <c r="D104" s="12"/>
      <c r="F104" s="25"/>
      <c r="G104" s="32"/>
    </row>
    <row r="105" spans="1:7" x14ac:dyDescent="0.25">
      <c r="A105" s="25"/>
      <c r="B105" s="3"/>
      <c r="C105" s="30"/>
      <c r="D105" s="12"/>
      <c r="F105" s="25"/>
      <c r="G105" s="32"/>
    </row>
    <row r="106" spans="1:7" x14ac:dyDescent="0.25">
      <c r="A106" s="25"/>
      <c r="B106" s="3"/>
      <c r="C106" s="30"/>
      <c r="D106" s="12"/>
      <c r="F106" s="25"/>
      <c r="G106" s="32"/>
    </row>
    <row r="107" spans="1:7" x14ac:dyDescent="0.25">
      <c r="A107" s="25"/>
      <c r="B107" s="3"/>
      <c r="C107" s="30"/>
      <c r="D107" s="12"/>
      <c r="F107" s="25"/>
      <c r="G107" s="32"/>
    </row>
    <row r="108" spans="1:7" x14ac:dyDescent="0.25">
      <c r="A108" s="25"/>
      <c r="B108" s="3"/>
      <c r="C108" s="30"/>
      <c r="D108" s="12"/>
      <c r="F108" s="25"/>
      <c r="G108" s="32"/>
    </row>
    <row r="109" spans="1:7" x14ac:dyDescent="0.25">
      <c r="A109" s="25"/>
      <c r="B109" s="3"/>
      <c r="C109" s="30"/>
      <c r="D109" s="12"/>
      <c r="F109" s="25"/>
      <c r="G109" s="32"/>
    </row>
    <row r="110" spans="1:7" x14ac:dyDescent="0.25">
      <c r="A110" s="25"/>
      <c r="B110" s="3"/>
      <c r="C110" s="30"/>
      <c r="D110" s="12"/>
      <c r="F110" s="25"/>
      <c r="G110" s="32"/>
    </row>
    <row r="111" spans="1:7" x14ac:dyDescent="0.25">
      <c r="A111" s="25"/>
      <c r="B111" s="3"/>
      <c r="C111" s="30"/>
      <c r="D111" s="12"/>
      <c r="F111" s="25"/>
      <c r="G111" s="32"/>
    </row>
    <row r="112" spans="1:7" x14ac:dyDescent="0.25">
      <c r="A112" s="25"/>
      <c r="B112" s="3"/>
      <c r="C112" s="30"/>
      <c r="D112" s="12"/>
      <c r="F112" s="25"/>
      <c r="G112" s="32"/>
    </row>
  </sheetData>
  <printOptions horizontalCentered="1" gridLines="1"/>
  <pageMargins left="0" right="0" top="0.75" bottom="0.5" header="0.3" footer="0.3"/>
  <pageSetup paperSize="9" scale="66" fitToHeight="100" orientation="portrait" r:id="rId1"/>
  <headerFooter>
    <oddHeader>&amp;C&amp;12DETAILED LIST OF DEBTORS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206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3.5703125" style="53" customWidth="1"/>
    <col min="3" max="3" width="9.5703125" style="3" customWidth="1"/>
    <col min="4" max="4" width="12.42578125" style="3" customWidth="1"/>
    <col min="5" max="5" width="12.5703125" style="3" customWidth="1"/>
    <col min="6" max="6" width="15.140625" style="3" customWidth="1"/>
    <col min="7" max="7" width="14.28515625" style="3" customWidth="1"/>
    <col min="8" max="8" width="20" style="16" customWidth="1"/>
    <col min="9" max="9" width="20.7109375" style="33" customWidth="1"/>
    <col min="10" max="10" width="20.7109375" style="16" customWidth="1"/>
    <col min="11" max="11" width="14" style="3" customWidth="1"/>
    <col min="12" max="12" width="19.85546875" style="3" customWidth="1"/>
    <col min="13" max="13" width="20.7109375" style="16" customWidth="1"/>
    <col min="14" max="14" width="15.85546875" style="3" customWidth="1"/>
    <col min="15" max="15" width="15.85546875" style="50" customWidth="1"/>
    <col min="16" max="16" width="15.28515625" style="3" customWidth="1"/>
    <col min="17" max="17" width="13.7109375" style="51" customWidth="1"/>
    <col min="18" max="18" width="15.140625" style="52" customWidth="1"/>
    <col min="19" max="19" width="12.140625" style="3" customWidth="1"/>
    <col min="20" max="20" width="12.42578125" style="3" bestFit="1" customWidth="1"/>
    <col min="21" max="21" width="17.5703125" style="12" customWidth="1"/>
    <col min="22" max="16384" width="9.140625" style="12"/>
  </cols>
  <sheetData>
    <row r="1" spans="1:20" s="68" customFormat="1" ht="27" customHeight="1" x14ac:dyDescent="0.25">
      <c r="A1" s="18"/>
      <c r="B1" s="64"/>
      <c r="C1" s="64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65"/>
      <c r="P1" s="18"/>
      <c r="Q1" s="66"/>
      <c r="R1" s="67"/>
      <c r="S1" s="18"/>
      <c r="T1" s="18"/>
    </row>
    <row r="2" spans="1:20" x14ac:dyDescent="0.25">
      <c r="A2" s="3"/>
      <c r="B2" s="49"/>
      <c r="I2" s="3"/>
    </row>
    <row r="3" spans="1:20" x14ac:dyDescent="0.25">
      <c r="A3" s="3"/>
      <c r="B3" s="49"/>
      <c r="I3" s="3"/>
    </row>
    <row r="4" spans="1:20" x14ac:dyDescent="0.25">
      <c r="A4" s="3"/>
      <c r="B4" s="49"/>
      <c r="I4" s="3"/>
    </row>
    <row r="5" spans="1:20" x14ac:dyDescent="0.25">
      <c r="A5" s="3"/>
      <c r="B5" s="49"/>
    </row>
    <row r="6" spans="1:20" x14ac:dyDescent="0.25">
      <c r="A6" s="3"/>
      <c r="B6" s="49"/>
    </row>
    <row r="7" spans="1:20" x14ac:dyDescent="0.25">
      <c r="A7" s="3"/>
      <c r="B7" s="49"/>
    </row>
    <row r="8" spans="1:20" x14ac:dyDescent="0.25">
      <c r="A8" s="3"/>
      <c r="B8" s="49"/>
    </row>
    <row r="9" spans="1:20" x14ac:dyDescent="0.25">
      <c r="A9" s="3"/>
      <c r="B9" s="49"/>
    </row>
    <row r="10" spans="1:20" x14ac:dyDescent="0.25">
      <c r="A10" s="3"/>
      <c r="B10" s="49"/>
    </row>
    <row r="11" spans="1:20" x14ac:dyDescent="0.25">
      <c r="A11" s="3"/>
      <c r="B11" s="49"/>
      <c r="R11" s="51"/>
    </row>
    <row r="12" spans="1:20" x14ac:dyDescent="0.25">
      <c r="A12" s="3"/>
      <c r="B12" s="49"/>
    </row>
    <row r="13" spans="1:20" x14ac:dyDescent="0.25">
      <c r="A13" s="3"/>
      <c r="B13" s="49"/>
    </row>
    <row r="14" spans="1:20" x14ac:dyDescent="0.25">
      <c r="A14" s="3"/>
      <c r="B14" s="49"/>
    </row>
    <row r="15" spans="1:20" x14ac:dyDescent="0.25">
      <c r="A15" s="3"/>
      <c r="B15" s="49"/>
    </row>
    <row r="16" spans="1:20" x14ac:dyDescent="0.25">
      <c r="A16" s="3"/>
      <c r="B16" s="49"/>
    </row>
    <row r="17" spans="1:2" x14ac:dyDescent="0.25">
      <c r="A17" s="3"/>
      <c r="B17" s="49"/>
    </row>
    <row r="18" spans="1:2" x14ac:dyDescent="0.25">
      <c r="A18" s="3"/>
      <c r="B18" s="49"/>
    </row>
    <row r="19" spans="1:2" x14ac:dyDescent="0.25">
      <c r="A19" s="3"/>
      <c r="B19" s="49"/>
    </row>
    <row r="20" spans="1:2" x14ac:dyDescent="0.25">
      <c r="A20" s="3"/>
      <c r="B20" s="49"/>
    </row>
    <row r="21" spans="1:2" x14ac:dyDescent="0.25">
      <c r="A21" s="3"/>
      <c r="B21" s="49"/>
    </row>
    <row r="22" spans="1:2" x14ac:dyDescent="0.25">
      <c r="A22" s="3"/>
      <c r="B22" s="49"/>
    </row>
    <row r="23" spans="1:2" x14ac:dyDescent="0.25">
      <c r="A23" s="3"/>
      <c r="B23" s="49"/>
    </row>
    <row r="24" spans="1:2" x14ac:dyDescent="0.25">
      <c r="A24" s="3"/>
      <c r="B24" s="49"/>
    </row>
    <row r="25" spans="1:2" x14ac:dyDescent="0.25">
      <c r="A25" s="3"/>
      <c r="B25" s="49"/>
    </row>
    <row r="26" spans="1:2" x14ac:dyDescent="0.25">
      <c r="A26" s="3"/>
      <c r="B26" s="49"/>
    </row>
    <row r="27" spans="1:2" x14ac:dyDescent="0.25">
      <c r="A27" s="3"/>
      <c r="B27" s="49"/>
    </row>
    <row r="28" spans="1:2" x14ac:dyDescent="0.25">
      <c r="A28" s="3"/>
      <c r="B28" s="49"/>
    </row>
    <row r="29" spans="1:2" x14ac:dyDescent="0.25">
      <c r="A29" s="3"/>
      <c r="B29" s="49"/>
    </row>
    <row r="30" spans="1:2" x14ac:dyDescent="0.25">
      <c r="A30" s="3"/>
      <c r="B30" s="49"/>
    </row>
    <row r="31" spans="1:2" x14ac:dyDescent="0.25">
      <c r="A31" s="3"/>
      <c r="B31" s="49"/>
    </row>
    <row r="32" spans="1:2" x14ac:dyDescent="0.25">
      <c r="A32" s="3"/>
      <c r="B32" s="49"/>
    </row>
    <row r="33" spans="1:13" x14ac:dyDescent="0.25">
      <c r="A33" s="3"/>
      <c r="B33" s="49"/>
    </row>
    <row r="34" spans="1:13" x14ac:dyDescent="0.25">
      <c r="A34" s="3"/>
      <c r="B34" s="49"/>
    </row>
    <row r="35" spans="1:13" x14ac:dyDescent="0.25">
      <c r="A35" s="3"/>
      <c r="B35" s="49"/>
    </row>
    <row r="36" spans="1:13" x14ac:dyDescent="0.25">
      <c r="A36" s="3"/>
      <c r="B36" s="49"/>
    </row>
    <row r="37" spans="1:13" x14ac:dyDescent="0.25">
      <c r="A37" s="3"/>
      <c r="B37" s="49"/>
    </row>
    <row r="38" spans="1:13" x14ac:dyDescent="0.25">
      <c r="A38" s="3"/>
      <c r="B38" s="49"/>
    </row>
    <row r="39" spans="1:13" x14ac:dyDescent="0.25">
      <c r="A39" s="3"/>
      <c r="B39" s="49"/>
    </row>
    <row r="40" spans="1:13" x14ac:dyDescent="0.25">
      <c r="A40" s="3"/>
      <c r="B40" s="49"/>
    </row>
    <row r="41" spans="1:13" x14ac:dyDescent="0.25">
      <c r="A41" s="3"/>
      <c r="B41" s="49"/>
    </row>
    <row r="42" spans="1:13" x14ac:dyDescent="0.25">
      <c r="A42" s="3"/>
      <c r="B42" s="49"/>
    </row>
    <row r="43" spans="1:13" x14ac:dyDescent="0.25">
      <c r="A43" s="3"/>
      <c r="B43" s="49"/>
    </row>
    <row r="44" spans="1:13" x14ac:dyDescent="0.25">
      <c r="A44" s="3"/>
      <c r="B44" s="49"/>
    </row>
    <row r="45" spans="1:13" x14ac:dyDescent="0.25">
      <c r="A45" s="3"/>
      <c r="B45" s="49"/>
    </row>
    <row r="46" spans="1:13" x14ac:dyDescent="0.25">
      <c r="A46" s="3"/>
      <c r="B46" s="49"/>
    </row>
    <row r="47" spans="1:13" x14ac:dyDescent="0.25">
      <c r="A47" s="3"/>
      <c r="B47" s="49"/>
      <c r="H47" s="12"/>
      <c r="I47" s="3"/>
      <c r="J47" s="12"/>
      <c r="M47" s="12"/>
    </row>
    <row r="48" spans="1:13" x14ac:dyDescent="0.25">
      <c r="A48" s="3"/>
      <c r="B48" s="49"/>
      <c r="H48" s="12"/>
      <c r="I48" s="3"/>
      <c r="J48" s="12"/>
      <c r="M48" s="12"/>
    </row>
    <row r="49" spans="1:13" x14ac:dyDescent="0.25">
      <c r="A49" s="3"/>
      <c r="B49" s="49"/>
      <c r="H49" s="12"/>
      <c r="I49" s="3"/>
      <c r="J49" s="12"/>
      <c r="M49" s="12"/>
    </row>
    <row r="50" spans="1:13" x14ac:dyDescent="0.25">
      <c r="A50" s="3"/>
      <c r="B50" s="49"/>
      <c r="H50" s="12"/>
      <c r="I50" s="3"/>
      <c r="J50" s="12"/>
      <c r="M50" s="12"/>
    </row>
    <row r="51" spans="1:13" x14ac:dyDescent="0.25">
      <c r="A51" s="3"/>
      <c r="B51" s="49"/>
      <c r="H51" s="12"/>
      <c r="I51" s="3"/>
      <c r="J51" s="12"/>
      <c r="M51" s="12"/>
    </row>
    <row r="52" spans="1:13" x14ac:dyDescent="0.25">
      <c r="A52" s="3"/>
      <c r="B52" s="49"/>
      <c r="H52" s="12"/>
      <c r="I52" s="3"/>
      <c r="J52" s="12"/>
      <c r="M52" s="12"/>
    </row>
    <row r="53" spans="1:13" x14ac:dyDescent="0.25">
      <c r="A53" s="3"/>
      <c r="B53" s="49"/>
      <c r="H53" s="12"/>
      <c r="I53" s="3"/>
      <c r="J53" s="12"/>
      <c r="M53" s="12"/>
    </row>
    <row r="54" spans="1:13" x14ac:dyDescent="0.25">
      <c r="A54" s="3"/>
      <c r="B54" s="49"/>
    </row>
    <row r="55" spans="1:13" x14ac:dyDescent="0.25">
      <c r="A55" s="3"/>
      <c r="B55" s="49"/>
      <c r="H55" s="12"/>
      <c r="I55" s="3"/>
      <c r="J55" s="12"/>
      <c r="M55" s="12"/>
    </row>
    <row r="56" spans="1:13" x14ac:dyDescent="0.25">
      <c r="A56" s="3"/>
      <c r="B56" s="49"/>
      <c r="H56" s="12"/>
      <c r="I56" s="3"/>
      <c r="J56" s="12"/>
      <c r="M56" s="12"/>
    </row>
    <row r="57" spans="1:13" x14ac:dyDescent="0.25">
      <c r="A57" s="3"/>
      <c r="B57" s="49"/>
    </row>
    <row r="58" spans="1:13" x14ac:dyDescent="0.25">
      <c r="A58" s="3"/>
      <c r="B58" s="49"/>
      <c r="H58" s="12"/>
      <c r="I58" s="3"/>
      <c r="J58" s="12"/>
      <c r="M58" s="12"/>
    </row>
    <row r="59" spans="1:13" x14ac:dyDescent="0.25">
      <c r="A59" s="3"/>
      <c r="B59" s="49"/>
      <c r="H59" s="12"/>
      <c r="I59" s="3"/>
      <c r="J59" s="12"/>
      <c r="M59" s="12"/>
    </row>
    <row r="60" spans="1:13" x14ac:dyDescent="0.25">
      <c r="A60" s="3"/>
      <c r="B60" s="49"/>
      <c r="H60" s="12"/>
      <c r="I60" s="3"/>
      <c r="J60" s="12"/>
      <c r="M60" s="12"/>
    </row>
    <row r="61" spans="1:13" x14ac:dyDescent="0.25">
      <c r="A61" s="3"/>
      <c r="B61" s="49"/>
      <c r="H61" s="12"/>
      <c r="I61" s="3"/>
      <c r="J61" s="12"/>
      <c r="M61" s="12"/>
    </row>
    <row r="62" spans="1:13" x14ac:dyDescent="0.25">
      <c r="A62" s="3"/>
      <c r="B62" s="49"/>
    </row>
    <row r="63" spans="1:13" x14ac:dyDescent="0.25">
      <c r="A63" s="3"/>
      <c r="B63" s="49"/>
      <c r="H63" s="12"/>
      <c r="I63" s="3"/>
      <c r="J63" s="12"/>
      <c r="M63" s="12"/>
    </row>
    <row r="64" spans="1:13" x14ac:dyDescent="0.25">
      <c r="A64" s="3"/>
      <c r="B64" s="49"/>
    </row>
    <row r="65" spans="1:13" x14ac:dyDescent="0.25">
      <c r="A65" s="3"/>
      <c r="B65" s="49"/>
      <c r="H65" s="12"/>
      <c r="I65" s="3"/>
      <c r="J65" s="12"/>
      <c r="M65" s="12"/>
    </row>
    <row r="66" spans="1:13" x14ac:dyDescent="0.25">
      <c r="A66" s="3"/>
      <c r="B66" s="49"/>
      <c r="H66" s="12"/>
      <c r="I66" s="3"/>
      <c r="J66" s="12"/>
      <c r="M66" s="12"/>
    </row>
    <row r="67" spans="1:13" x14ac:dyDescent="0.25">
      <c r="A67" s="3"/>
      <c r="B67" s="49"/>
      <c r="H67" s="12"/>
      <c r="I67" s="3"/>
      <c r="J67" s="12"/>
      <c r="M67" s="12"/>
    </row>
    <row r="68" spans="1:13" x14ac:dyDescent="0.25">
      <c r="A68" s="3"/>
      <c r="B68" s="49"/>
    </row>
    <row r="69" spans="1:13" x14ac:dyDescent="0.25">
      <c r="A69" s="3"/>
      <c r="B69" s="49"/>
      <c r="H69" s="12"/>
      <c r="I69" s="3"/>
      <c r="J69" s="12"/>
      <c r="M69" s="12"/>
    </row>
    <row r="70" spans="1:13" x14ac:dyDescent="0.25">
      <c r="A70" s="3"/>
      <c r="B70" s="49"/>
      <c r="H70" s="12"/>
      <c r="I70" s="3"/>
      <c r="J70" s="12"/>
      <c r="M70" s="12"/>
    </row>
    <row r="71" spans="1:13" x14ac:dyDescent="0.25">
      <c r="A71" s="3"/>
      <c r="B71" s="49"/>
    </row>
    <row r="72" spans="1:13" x14ac:dyDescent="0.25">
      <c r="A72" s="3"/>
      <c r="B72" s="49"/>
      <c r="H72" s="12"/>
      <c r="I72" s="3"/>
      <c r="J72" s="12"/>
      <c r="M72" s="12"/>
    </row>
    <row r="73" spans="1:13" x14ac:dyDescent="0.25">
      <c r="A73" s="3"/>
      <c r="B73" s="49"/>
      <c r="H73" s="12"/>
      <c r="I73" s="3"/>
      <c r="J73" s="12"/>
      <c r="M73" s="12"/>
    </row>
    <row r="74" spans="1:13" x14ac:dyDescent="0.25">
      <c r="A74" s="3"/>
      <c r="B74" s="49"/>
    </row>
    <row r="75" spans="1:13" x14ac:dyDescent="0.25">
      <c r="A75" s="3"/>
      <c r="B75" s="49"/>
    </row>
    <row r="76" spans="1:13" x14ac:dyDescent="0.25">
      <c r="A76" s="3"/>
      <c r="B76" s="49"/>
    </row>
    <row r="77" spans="1:13" x14ac:dyDescent="0.25">
      <c r="A77" s="3"/>
      <c r="B77" s="49"/>
    </row>
    <row r="78" spans="1:13" x14ac:dyDescent="0.25">
      <c r="A78" s="3"/>
      <c r="B78" s="49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  <c r="H81" s="12"/>
      <c r="I81" s="3"/>
      <c r="J81" s="12"/>
      <c r="M81" s="12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  <c r="H84" s="12"/>
      <c r="I84" s="3"/>
      <c r="J84" s="12"/>
      <c r="M84" s="12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  <c r="H87" s="12"/>
      <c r="I87" s="3"/>
      <c r="J87" s="12"/>
      <c r="M87" s="12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  <c r="H89" s="12"/>
      <c r="I89" s="3"/>
      <c r="J89" s="12"/>
      <c r="M89" s="12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  <c r="H91" s="12"/>
      <c r="I91" s="3"/>
      <c r="J91" s="12"/>
      <c r="M91" s="12"/>
    </row>
    <row r="92" spans="1:13" x14ac:dyDescent="0.25">
      <c r="A92" s="3"/>
      <c r="B92" s="49"/>
      <c r="H92" s="12"/>
      <c r="I92" s="3"/>
      <c r="J92" s="12"/>
      <c r="M92" s="12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  <c r="H94" s="12"/>
      <c r="I94" s="3"/>
      <c r="J94" s="12"/>
      <c r="M94" s="12"/>
    </row>
    <row r="95" spans="1:13" x14ac:dyDescent="0.25">
      <c r="A95" s="3"/>
      <c r="B95" s="49"/>
      <c r="H95" s="12"/>
      <c r="I95" s="3"/>
      <c r="J95" s="12"/>
      <c r="M95" s="12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  <c r="H98" s="12"/>
      <c r="I98" s="3"/>
      <c r="J98" s="12"/>
      <c r="M98" s="12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  <c r="H101" s="12"/>
      <c r="I101" s="3"/>
      <c r="J101" s="12"/>
      <c r="M101" s="12"/>
    </row>
    <row r="102" spans="1:13" x14ac:dyDescent="0.25">
      <c r="A102" s="3"/>
      <c r="B102" s="49"/>
    </row>
    <row r="103" spans="1:13" x14ac:dyDescent="0.25">
      <c r="A103" s="3"/>
      <c r="B103" s="49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  <c r="H106" s="12"/>
      <c r="I106" s="3"/>
      <c r="J106" s="12"/>
      <c r="M106" s="12"/>
    </row>
    <row r="107" spans="1:13" x14ac:dyDescent="0.25">
      <c r="A107" s="3"/>
      <c r="B107" s="49"/>
      <c r="H107" s="12"/>
      <c r="I107" s="3"/>
      <c r="J107" s="12"/>
      <c r="M107" s="12"/>
    </row>
    <row r="108" spans="1:13" x14ac:dyDescent="0.25">
      <c r="A108" s="3"/>
      <c r="B108" s="49"/>
      <c r="H108" s="12"/>
      <c r="I108" s="3"/>
      <c r="J108" s="12"/>
      <c r="M108" s="12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  <c r="H129" s="12"/>
      <c r="I129" s="3"/>
      <c r="J129" s="12"/>
      <c r="M129" s="12"/>
    </row>
    <row r="130" spans="1:13" x14ac:dyDescent="0.25">
      <c r="A130" s="3"/>
      <c r="B130" s="49"/>
      <c r="H130" s="12"/>
      <c r="I130" s="3"/>
      <c r="J130" s="12"/>
      <c r="M130" s="12"/>
    </row>
    <row r="131" spans="1:13" x14ac:dyDescent="0.25">
      <c r="A131" s="3"/>
      <c r="B131" s="49"/>
      <c r="D131" s="12"/>
      <c r="E131" s="12"/>
      <c r="F131" s="12"/>
      <c r="G131" s="12"/>
      <c r="H131" s="12"/>
      <c r="I131" s="3"/>
      <c r="J131" s="12"/>
      <c r="M131" s="12"/>
    </row>
    <row r="132" spans="1:13" x14ac:dyDescent="0.25">
      <c r="A132" s="3"/>
      <c r="B132" s="49"/>
      <c r="D132" s="12"/>
      <c r="E132" s="12"/>
      <c r="F132" s="12"/>
      <c r="G132" s="12"/>
      <c r="H132" s="12"/>
      <c r="I132" s="3"/>
      <c r="J132" s="12"/>
      <c r="M132" s="12"/>
    </row>
    <row r="133" spans="1:13" x14ac:dyDescent="0.25">
      <c r="A133" s="3"/>
      <c r="B133" s="49"/>
      <c r="D133" s="12"/>
      <c r="E133" s="12"/>
      <c r="F133" s="12"/>
      <c r="G133" s="12"/>
      <c r="H133" s="12"/>
      <c r="I133" s="3"/>
      <c r="J133" s="12"/>
      <c r="M133" s="12"/>
    </row>
    <row r="134" spans="1:13" x14ac:dyDescent="0.25">
      <c r="A134" s="3"/>
      <c r="B134" s="49"/>
      <c r="D134" s="12"/>
      <c r="E134" s="12"/>
      <c r="F134" s="12"/>
      <c r="G134" s="12"/>
      <c r="H134" s="12"/>
      <c r="I134" s="3"/>
      <c r="J134" s="12"/>
      <c r="M134" s="12"/>
    </row>
    <row r="135" spans="1:13" x14ac:dyDescent="0.25">
      <c r="A135" s="3"/>
      <c r="B135" s="49"/>
      <c r="D135" s="12"/>
      <c r="E135" s="12"/>
      <c r="F135" s="12"/>
      <c r="G135" s="12"/>
      <c r="H135" s="12"/>
      <c r="I135" s="3"/>
      <c r="J135" s="12"/>
      <c r="M135" s="12"/>
    </row>
    <row r="136" spans="1:13" x14ac:dyDescent="0.25">
      <c r="A136" s="3"/>
      <c r="B136" s="49"/>
      <c r="D136" s="12"/>
      <c r="E136" s="12"/>
      <c r="F136" s="12"/>
      <c r="G136" s="12"/>
      <c r="H136" s="12"/>
      <c r="I136" s="3"/>
      <c r="J136" s="12"/>
      <c r="M136" s="12"/>
    </row>
    <row r="137" spans="1:13" x14ac:dyDescent="0.25">
      <c r="A137" s="3"/>
      <c r="B137" s="49"/>
      <c r="D137" s="12"/>
      <c r="E137" s="12"/>
      <c r="F137" s="12"/>
      <c r="G137" s="12"/>
      <c r="H137" s="12"/>
      <c r="I137" s="3"/>
      <c r="J137" s="12"/>
      <c r="M137" s="12"/>
    </row>
    <row r="138" spans="1:13" x14ac:dyDescent="0.25">
      <c r="A138" s="3"/>
      <c r="B138" s="49"/>
      <c r="D138" s="12"/>
      <c r="E138" s="12"/>
      <c r="F138" s="12"/>
      <c r="G138" s="12"/>
      <c r="H138" s="12"/>
      <c r="I138" s="3"/>
      <c r="J138" s="12"/>
      <c r="M138" s="12"/>
    </row>
    <row r="139" spans="1:13" x14ac:dyDescent="0.25">
      <c r="A139" s="3"/>
      <c r="B139" s="49"/>
      <c r="D139" s="12"/>
      <c r="E139" s="12"/>
      <c r="F139" s="12"/>
      <c r="G139" s="12"/>
      <c r="H139" s="12"/>
      <c r="I139" s="3"/>
      <c r="J139" s="12"/>
      <c r="M139" s="12"/>
    </row>
    <row r="140" spans="1:13" x14ac:dyDescent="0.25">
      <c r="A140" s="3"/>
      <c r="B140" s="49"/>
      <c r="D140" s="12"/>
      <c r="E140" s="12"/>
      <c r="F140" s="12"/>
      <c r="G140" s="12"/>
      <c r="H140" s="12"/>
      <c r="I140" s="3"/>
      <c r="J140" s="12"/>
      <c r="M140" s="12"/>
    </row>
    <row r="141" spans="1:13" x14ac:dyDescent="0.25">
      <c r="A141" s="3"/>
      <c r="B141" s="49"/>
      <c r="D141" s="12"/>
      <c r="E141" s="12"/>
      <c r="F141" s="12"/>
      <c r="G141" s="12"/>
      <c r="H141" s="12"/>
      <c r="I141" s="3"/>
      <c r="J141" s="12"/>
      <c r="M141" s="12"/>
    </row>
    <row r="142" spans="1:13" x14ac:dyDescent="0.25">
      <c r="D142" s="12"/>
      <c r="E142" s="12"/>
      <c r="F142" s="12"/>
      <c r="G142" s="12"/>
      <c r="H142" s="12"/>
      <c r="I142" s="3"/>
      <c r="J142" s="12"/>
      <c r="M142" s="12"/>
    </row>
    <row r="143" spans="1:13" x14ac:dyDescent="0.25">
      <c r="A143" s="3"/>
      <c r="B143" s="49"/>
      <c r="D143" s="12"/>
      <c r="E143" s="12"/>
      <c r="F143" s="12"/>
      <c r="G143" s="12"/>
      <c r="H143" s="12"/>
      <c r="I143" s="3"/>
      <c r="J143" s="12"/>
      <c r="M143" s="12"/>
    </row>
    <row r="144" spans="1:13" x14ac:dyDescent="0.25">
      <c r="A144" s="3"/>
      <c r="B144" s="49"/>
      <c r="D144" s="12"/>
      <c r="E144" s="12"/>
      <c r="F144" s="12"/>
      <c r="G144" s="12"/>
      <c r="H144" s="12"/>
      <c r="I144" s="3"/>
      <c r="J144" s="12"/>
      <c r="M144" s="12"/>
    </row>
    <row r="145" spans="1:13" x14ac:dyDescent="0.25">
      <c r="A145" s="3"/>
      <c r="B145" s="49"/>
      <c r="D145" s="12"/>
      <c r="E145" s="12"/>
      <c r="F145" s="12"/>
      <c r="G145" s="12"/>
      <c r="H145" s="12"/>
      <c r="I145" s="3"/>
      <c r="J145" s="12"/>
      <c r="M145" s="12"/>
    </row>
    <row r="146" spans="1:13" x14ac:dyDescent="0.25">
      <c r="A146" s="3"/>
      <c r="B146" s="49"/>
      <c r="D146" s="12"/>
      <c r="E146" s="12"/>
      <c r="F146" s="12"/>
      <c r="G146" s="12"/>
      <c r="H146" s="12"/>
      <c r="I146" s="3"/>
      <c r="J146" s="12"/>
      <c r="M146" s="12"/>
    </row>
    <row r="147" spans="1:13" x14ac:dyDescent="0.25">
      <c r="A147" s="3"/>
      <c r="B147" s="49"/>
      <c r="D147" s="12"/>
      <c r="E147" s="12"/>
      <c r="F147" s="12"/>
      <c r="G147" s="12"/>
      <c r="H147" s="12"/>
      <c r="I147" s="3"/>
      <c r="J147" s="12"/>
      <c r="M147" s="12"/>
    </row>
    <row r="148" spans="1:13" x14ac:dyDescent="0.25">
      <c r="A148" s="3"/>
      <c r="B148" s="49"/>
      <c r="D148" s="12"/>
      <c r="E148" s="12"/>
      <c r="F148" s="12"/>
      <c r="G148" s="12"/>
      <c r="H148" s="12"/>
      <c r="I148" s="3"/>
      <c r="J148" s="12"/>
      <c r="M148" s="12"/>
    </row>
    <row r="149" spans="1:13" x14ac:dyDescent="0.25">
      <c r="A149" s="3"/>
      <c r="B149" s="49"/>
      <c r="D149" s="12"/>
      <c r="E149" s="12"/>
      <c r="F149" s="12"/>
      <c r="G149" s="12"/>
      <c r="H149" s="12"/>
      <c r="I149" s="3"/>
      <c r="J149" s="12"/>
      <c r="M149" s="12"/>
    </row>
    <row r="156" spans="1:13" x14ac:dyDescent="0.25">
      <c r="A156" s="3"/>
      <c r="B156" s="49"/>
      <c r="D156" s="12"/>
      <c r="E156" s="12"/>
      <c r="F156" s="12"/>
      <c r="G156" s="12"/>
      <c r="H156" s="12"/>
      <c r="I156" s="3"/>
      <c r="J156" s="12"/>
      <c r="M156" s="12"/>
    </row>
    <row r="157" spans="1:13" x14ac:dyDescent="0.25">
      <c r="A157" s="3"/>
      <c r="B157" s="49"/>
      <c r="D157" s="12"/>
      <c r="E157" s="12"/>
      <c r="F157" s="12"/>
      <c r="G157" s="12"/>
      <c r="H157" s="12"/>
      <c r="I157" s="3"/>
      <c r="J157" s="12"/>
      <c r="M157" s="12"/>
    </row>
    <row r="158" spans="1:13" x14ac:dyDescent="0.25">
      <c r="A158" s="3"/>
      <c r="B158" s="49"/>
      <c r="D158" s="12"/>
      <c r="E158" s="12"/>
      <c r="F158" s="12"/>
      <c r="G158" s="12"/>
      <c r="H158" s="12"/>
      <c r="I158" s="3"/>
      <c r="J158" s="12"/>
      <c r="M158" s="12"/>
    </row>
    <row r="159" spans="1:13" x14ac:dyDescent="0.25">
      <c r="A159" s="3"/>
      <c r="B159" s="49"/>
      <c r="D159" s="12"/>
      <c r="E159" s="12"/>
      <c r="F159" s="12"/>
      <c r="G159" s="12"/>
      <c r="H159" s="12"/>
      <c r="I159" s="3"/>
      <c r="J159" s="12"/>
      <c r="M159" s="12"/>
    </row>
    <row r="160" spans="1:13" x14ac:dyDescent="0.25">
      <c r="A160" s="3"/>
      <c r="B160" s="49"/>
      <c r="D160" s="12"/>
      <c r="E160" s="12"/>
      <c r="F160" s="12"/>
      <c r="G160" s="12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77" spans="1:13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</row>
    <row r="178" spans="1:13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</row>
    <row r="179" spans="1:13" x14ac:dyDescent="0.25">
      <c r="A179" s="3"/>
      <c r="B179" s="49"/>
      <c r="D179" s="12"/>
      <c r="E179" s="12"/>
      <c r="F179" s="12"/>
      <c r="G179" s="12"/>
      <c r="H179" s="12"/>
      <c r="I179" s="3"/>
      <c r="J179" s="12"/>
      <c r="M179" s="12"/>
    </row>
    <row r="180" spans="1:13" x14ac:dyDescent="0.25">
      <c r="A180" s="3"/>
      <c r="B180" s="49"/>
      <c r="D180" s="12"/>
      <c r="E180" s="12"/>
      <c r="F180" s="12"/>
      <c r="G180" s="12"/>
      <c r="H180" s="12"/>
      <c r="I180" s="3"/>
      <c r="J180" s="12"/>
      <c r="M180" s="12"/>
    </row>
    <row r="181" spans="1:13" x14ac:dyDescent="0.25">
      <c r="A181" s="3"/>
      <c r="B181" s="49"/>
      <c r="D181" s="12"/>
      <c r="E181" s="12"/>
      <c r="F181" s="12"/>
      <c r="G181" s="12"/>
      <c r="H181" s="12"/>
      <c r="I181" s="3"/>
      <c r="J181" s="12"/>
      <c r="M181" s="12"/>
    </row>
    <row r="182" spans="1:13" x14ac:dyDescent="0.25">
      <c r="A182" s="3"/>
      <c r="B182" s="49"/>
      <c r="D182" s="12"/>
      <c r="E182" s="12"/>
      <c r="F182" s="12"/>
      <c r="G182" s="12"/>
      <c r="H182" s="12"/>
      <c r="I182" s="3"/>
      <c r="J182" s="12"/>
      <c r="M182" s="12"/>
    </row>
    <row r="183" spans="1:13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</row>
    <row r="184" spans="1:13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</row>
    <row r="185" spans="1:13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</sheetData>
  <printOptions horizontalCentered="1" gridLines="1"/>
  <pageMargins left="0" right="0" top="0.75" bottom="0.5" header="0.3" footer="0.3"/>
  <pageSetup paperSize="9" scale="47" fitToHeight="100" orientation="landscape" r:id="rId1"/>
  <headerFooter>
    <oddHeader>&amp;C&amp;12OPEN TRIP SHEET LOG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C243"/>
  <sheetViews>
    <sheetView topLeftCell="Q1"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5.7109375" style="53" customWidth="1"/>
    <col min="3" max="3" width="12.140625" style="3" customWidth="1"/>
    <col min="4" max="4" width="14.28515625" style="3" bestFit="1" customWidth="1"/>
    <col min="5" max="7" width="14.28515625" style="3" customWidth="1"/>
    <col min="8" max="8" width="21" style="16" customWidth="1"/>
    <col min="9" max="9" width="21.7109375" style="33" customWidth="1"/>
    <col min="10" max="10" width="20.7109375" style="16" customWidth="1"/>
    <col min="11" max="11" width="15.85546875" style="3" customWidth="1"/>
    <col min="12" max="12" width="20.5703125" style="3" customWidth="1"/>
    <col min="13" max="13" width="20.7109375" style="16" customWidth="1"/>
    <col min="14" max="14" width="15.85546875" style="3" customWidth="1"/>
    <col min="15" max="15" width="20.42578125" style="50" customWidth="1"/>
    <col min="16" max="16" width="17.28515625" style="3" customWidth="1"/>
    <col min="17" max="17" width="15.85546875" style="51" customWidth="1"/>
    <col min="18" max="18" width="15.85546875" style="52" customWidth="1"/>
    <col min="19" max="19" width="15" style="12" bestFit="1" customWidth="1"/>
    <col min="20" max="20" width="12.42578125" style="3" bestFit="1" customWidth="1"/>
    <col min="21" max="21" width="42" style="12" customWidth="1"/>
    <col min="22" max="22" width="15.7109375" style="53" customWidth="1"/>
    <col min="23" max="25" width="20.42578125" style="50" customWidth="1"/>
    <col min="26" max="26" width="20.42578125" style="32" customWidth="1"/>
    <col min="27" max="27" width="20.42578125" style="50" customWidth="1"/>
    <col min="28" max="28" width="18.42578125" style="126" customWidth="1"/>
    <col min="29" max="29" width="20.85546875" style="126" customWidth="1"/>
    <col min="30" max="16384" width="9.140625" style="12"/>
  </cols>
  <sheetData>
    <row r="1" spans="1:29" s="13" customFormat="1" x14ac:dyDescent="0.25">
      <c r="B1" s="105"/>
      <c r="C1" s="105"/>
      <c r="O1" s="122"/>
      <c r="Q1" s="123"/>
      <c r="R1" s="124"/>
      <c r="V1" s="105"/>
      <c r="W1" s="122"/>
      <c r="X1" s="122"/>
      <c r="Y1" s="122"/>
      <c r="Z1" s="31"/>
      <c r="AA1" s="122"/>
      <c r="AB1" s="125"/>
      <c r="AC1" s="125"/>
    </row>
    <row r="2" spans="1:29" x14ac:dyDescent="0.25">
      <c r="A2" s="3"/>
      <c r="B2" s="49"/>
      <c r="V2" s="49"/>
    </row>
    <row r="3" spans="1:29" x14ac:dyDescent="0.25">
      <c r="A3" s="3"/>
      <c r="B3" s="49"/>
      <c r="V3" s="49"/>
    </row>
    <row r="4" spans="1:29" x14ac:dyDescent="0.25">
      <c r="A4" s="3"/>
      <c r="B4" s="49"/>
      <c r="V4" s="49"/>
    </row>
    <row r="5" spans="1:29" x14ac:dyDescent="0.25">
      <c r="A5" s="3"/>
      <c r="B5" s="49"/>
      <c r="V5" s="49"/>
    </row>
    <row r="6" spans="1:29" x14ac:dyDescent="0.25">
      <c r="A6" s="3"/>
      <c r="B6" s="49"/>
      <c r="V6" s="49"/>
    </row>
    <row r="7" spans="1:29" x14ac:dyDescent="0.25">
      <c r="A7" s="3"/>
      <c r="B7" s="49"/>
      <c r="V7" s="49"/>
    </row>
    <row r="8" spans="1:29" x14ac:dyDescent="0.25">
      <c r="A8" s="3"/>
      <c r="B8" s="49"/>
      <c r="V8" s="49"/>
    </row>
    <row r="9" spans="1:29" x14ac:dyDescent="0.25">
      <c r="A9" s="3"/>
      <c r="B9" s="49"/>
      <c r="V9" s="49"/>
    </row>
    <row r="10" spans="1:29" x14ac:dyDescent="0.25">
      <c r="A10" s="3"/>
      <c r="B10" s="49"/>
      <c r="V10" s="49"/>
    </row>
    <row r="11" spans="1:29" x14ac:dyDescent="0.25">
      <c r="A11" s="3"/>
      <c r="B11" s="49"/>
      <c r="V11" s="49"/>
    </row>
    <row r="12" spans="1:29" x14ac:dyDescent="0.25">
      <c r="A12" s="3"/>
      <c r="B12" s="49"/>
      <c r="V12" s="49"/>
    </row>
    <row r="13" spans="1:29" x14ac:dyDescent="0.25">
      <c r="A13" s="3"/>
      <c r="B13" s="49"/>
      <c r="V13" s="49"/>
    </row>
    <row r="14" spans="1:29" x14ac:dyDescent="0.25">
      <c r="A14" s="3"/>
      <c r="B14" s="49"/>
      <c r="V14" s="49"/>
    </row>
    <row r="15" spans="1:29" x14ac:dyDescent="0.25">
      <c r="A15" s="3"/>
      <c r="B15" s="49"/>
      <c r="V15" s="49"/>
    </row>
    <row r="16" spans="1:29" x14ac:dyDescent="0.25">
      <c r="A16" s="3"/>
      <c r="B16" s="49"/>
      <c r="V16" s="49"/>
    </row>
    <row r="17" spans="1:22" x14ac:dyDescent="0.25">
      <c r="A17" s="3"/>
      <c r="B17" s="49"/>
      <c r="V17" s="49"/>
    </row>
    <row r="18" spans="1:22" x14ac:dyDescent="0.25">
      <c r="A18" s="3"/>
      <c r="B18" s="49"/>
      <c r="V18" s="49"/>
    </row>
    <row r="19" spans="1:22" x14ac:dyDescent="0.25">
      <c r="A19" s="3"/>
      <c r="B19" s="49"/>
      <c r="V19" s="49"/>
    </row>
    <row r="20" spans="1:22" x14ac:dyDescent="0.25">
      <c r="A20" s="3"/>
      <c r="B20" s="49"/>
      <c r="V20" s="49"/>
    </row>
    <row r="21" spans="1:22" x14ac:dyDescent="0.25">
      <c r="A21" s="3"/>
      <c r="B21" s="49"/>
      <c r="V21" s="49"/>
    </row>
    <row r="22" spans="1:22" x14ac:dyDescent="0.25">
      <c r="A22" s="3"/>
      <c r="B22" s="49"/>
      <c r="V22" s="49"/>
    </row>
    <row r="23" spans="1:22" x14ac:dyDescent="0.25">
      <c r="A23" s="3"/>
      <c r="B23" s="49"/>
      <c r="V23" s="49"/>
    </row>
    <row r="24" spans="1:22" x14ac:dyDescent="0.25">
      <c r="A24" s="3"/>
      <c r="B24" s="49"/>
      <c r="V24" s="49"/>
    </row>
    <row r="25" spans="1:22" x14ac:dyDescent="0.25">
      <c r="A25" s="3"/>
      <c r="B25" s="49"/>
      <c r="V25" s="49"/>
    </row>
    <row r="26" spans="1:22" x14ac:dyDescent="0.25">
      <c r="A26" s="3"/>
      <c r="B26" s="49"/>
      <c r="V26" s="49"/>
    </row>
    <row r="27" spans="1:22" x14ac:dyDescent="0.25">
      <c r="A27" s="3"/>
      <c r="B27" s="49"/>
      <c r="V27" s="49"/>
    </row>
    <row r="28" spans="1:22" x14ac:dyDescent="0.25">
      <c r="A28" s="3"/>
      <c r="B28" s="49"/>
      <c r="V28" s="49"/>
    </row>
    <row r="29" spans="1:22" x14ac:dyDescent="0.25">
      <c r="A29" s="3"/>
      <c r="B29" s="49"/>
      <c r="V29" s="49"/>
    </row>
    <row r="30" spans="1:22" x14ac:dyDescent="0.25">
      <c r="A30" s="3"/>
      <c r="B30" s="49"/>
      <c r="V30" s="49"/>
    </row>
    <row r="31" spans="1:22" x14ac:dyDescent="0.25">
      <c r="A31" s="3"/>
      <c r="B31" s="49"/>
      <c r="V31" s="49"/>
    </row>
    <row r="32" spans="1:22" x14ac:dyDescent="0.25">
      <c r="A32" s="3"/>
      <c r="B32" s="49"/>
      <c r="V32" s="49"/>
    </row>
    <row r="33" spans="1:29" x14ac:dyDescent="0.25">
      <c r="A33" s="3"/>
      <c r="B33" s="49"/>
      <c r="V33" s="49"/>
      <c r="W33" s="12"/>
      <c r="X33" s="12"/>
      <c r="Y33" s="12"/>
      <c r="Z33" s="12"/>
      <c r="AA33" s="12"/>
      <c r="AB33" s="12"/>
      <c r="AC33" s="12"/>
    </row>
    <row r="34" spans="1:29" x14ac:dyDescent="0.25">
      <c r="A34" s="3"/>
      <c r="B34" s="49"/>
      <c r="V34" s="49"/>
      <c r="W34" s="12"/>
      <c r="X34" s="12"/>
      <c r="Y34" s="12"/>
      <c r="Z34" s="12"/>
      <c r="AA34" s="12"/>
      <c r="AB34" s="12"/>
      <c r="AC34" s="12"/>
    </row>
    <row r="35" spans="1:29" x14ac:dyDescent="0.25">
      <c r="A35" s="3"/>
      <c r="B35" s="49"/>
      <c r="V35" s="49"/>
      <c r="W35" s="12"/>
      <c r="X35" s="12"/>
      <c r="Y35" s="12"/>
      <c r="Z35" s="12"/>
      <c r="AA35" s="12"/>
      <c r="AB35" s="12"/>
      <c r="AC35" s="12"/>
    </row>
    <row r="36" spans="1:29" x14ac:dyDescent="0.25">
      <c r="A36" s="3"/>
      <c r="B36" s="49"/>
      <c r="V36" s="49"/>
      <c r="W36" s="12"/>
      <c r="X36" s="12"/>
      <c r="Y36" s="12"/>
      <c r="Z36" s="12"/>
      <c r="AA36" s="12"/>
      <c r="AB36" s="12"/>
      <c r="AC36" s="12"/>
    </row>
    <row r="37" spans="1:29" x14ac:dyDescent="0.25">
      <c r="A37" s="3"/>
      <c r="B37" s="49"/>
      <c r="V37" s="49"/>
      <c r="W37" s="12"/>
      <c r="X37" s="12"/>
      <c r="Y37" s="12"/>
      <c r="Z37" s="12"/>
      <c r="AA37" s="12"/>
      <c r="AB37" s="12"/>
      <c r="AC37" s="12"/>
    </row>
    <row r="38" spans="1:29" x14ac:dyDescent="0.25">
      <c r="A38" s="3"/>
      <c r="B38" s="49"/>
      <c r="V38" s="49"/>
      <c r="W38" s="12"/>
      <c r="X38" s="12"/>
      <c r="Y38" s="12"/>
      <c r="Z38" s="12"/>
      <c r="AA38" s="12"/>
      <c r="AB38" s="12"/>
      <c r="AC38" s="12"/>
    </row>
    <row r="39" spans="1:29" x14ac:dyDescent="0.25">
      <c r="A39" s="3"/>
      <c r="B39" s="49"/>
      <c r="V39" s="49"/>
      <c r="W39" s="12"/>
      <c r="X39" s="12"/>
      <c r="Y39" s="12"/>
      <c r="Z39" s="12"/>
      <c r="AA39" s="12"/>
      <c r="AB39" s="12"/>
      <c r="AC39" s="12"/>
    </row>
    <row r="40" spans="1:29" x14ac:dyDescent="0.25">
      <c r="A40" s="3"/>
      <c r="B40" s="49"/>
      <c r="V40" s="49"/>
      <c r="W40" s="12"/>
      <c r="X40" s="12"/>
      <c r="Y40" s="12"/>
      <c r="Z40" s="12"/>
      <c r="AA40" s="12"/>
      <c r="AB40" s="12"/>
      <c r="AC40" s="12"/>
    </row>
    <row r="41" spans="1:29" x14ac:dyDescent="0.25">
      <c r="A41" s="3"/>
      <c r="B41" s="49"/>
      <c r="V41" s="49"/>
      <c r="W41" s="12"/>
      <c r="X41" s="12"/>
      <c r="Y41" s="12"/>
      <c r="Z41" s="12"/>
      <c r="AA41" s="12"/>
      <c r="AB41" s="12"/>
      <c r="AC41" s="12"/>
    </row>
    <row r="42" spans="1:29" x14ac:dyDescent="0.25">
      <c r="A42" s="3"/>
      <c r="B42" s="49"/>
      <c r="V42" s="49"/>
      <c r="W42" s="12"/>
      <c r="X42" s="12"/>
      <c r="Y42" s="12"/>
      <c r="Z42" s="12"/>
      <c r="AA42" s="12"/>
      <c r="AB42" s="12"/>
      <c r="AC42" s="12"/>
    </row>
    <row r="43" spans="1:29" x14ac:dyDescent="0.25">
      <c r="A43" s="3"/>
      <c r="B43" s="49"/>
      <c r="V43" s="49"/>
      <c r="W43" s="12"/>
      <c r="X43" s="12"/>
      <c r="Y43" s="12"/>
      <c r="Z43" s="12"/>
      <c r="AA43" s="12"/>
      <c r="AB43" s="12"/>
      <c r="AC43" s="12"/>
    </row>
    <row r="44" spans="1:29" x14ac:dyDescent="0.25">
      <c r="A44" s="3"/>
      <c r="B44" s="49"/>
      <c r="V44" s="49"/>
      <c r="W44" s="12"/>
      <c r="X44" s="12"/>
      <c r="Y44" s="12"/>
      <c r="Z44" s="12"/>
      <c r="AA44" s="12"/>
      <c r="AB44" s="12"/>
      <c r="AC44" s="12"/>
    </row>
    <row r="45" spans="1:29" x14ac:dyDescent="0.25">
      <c r="A45" s="3"/>
      <c r="B45" s="49"/>
      <c r="V45" s="49"/>
      <c r="W45" s="12"/>
      <c r="X45" s="12"/>
      <c r="Y45" s="12"/>
      <c r="Z45" s="12"/>
      <c r="AA45" s="12"/>
      <c r="AB45" s="12"/>
      <c r="AC45" s="12"/>
    </row>
    <row r="46" spans="1:29" x14ac:dyDescent="0.25">
      <c r="A46" s="3"/>
      <c r="B46" s="49"/>
      <c r="V46" s="49"/>
      <c r="W46" s="12"/>
      <c r="X46" s="12"/>
      <c r="Y46" s="12"/>
      <c r="Z46" s="12"/>
      <c r="AA46" s="12"/>
      <c r="AB46" s="12"/>
      <c r="AC46" s="12"/>
    </row>
    <row r="47" spans="1:29" x14ac:dyDescent="0.25">
      <c r="A47" s="3"/>
      <c r="B47" s="49"/>
      <c r="V47" s="49"/>
      <c r="W47" s="12"/>
      <c r="X47" s="12"/>
      <c r="Y47" s="12"/>
      <c r="Z47" s="12"/>
      <c r="AA47" s="12"/>
      <c r="AB47" s="12"/>
      <c r="AC47" s="12"/>
    </row>
    <row r="48" spans="1:29" x14ac:dyDescent="0.25">
      <c r="A48" s="3"/>
      <c r="B48" s="49"/>
      <c r="V48" s="49"/>
      <c r="W48" s="12"/>
      <c r="X48" s="12"/>
      <c r="Y48" s="12"/>
      <c r="Z48" s="12"/>
      <c r="AA48" s="12"/>
      <c r="AB48" s="12"/>
      <c r="AC48" s="12"/>
    </row>
    <row r="49" spans="1:29" x14ac:dyDescent="0.25">
      <c r="A49" s="3"/>
      <c r="B49" s="49"/>
      <c r="V49" s="49"/>
      <c r="W49" s="12"/>
      <c r="X49" s="12"/>
      <c r="Y49" s="12"/>
      <c r="Z49" s="12"/>
      <c r="AA49" s="12"/>
      <c r="AB49" s="12"/>
      <c r="AC49" s="12"/>
    </row>
    <row r="50" spans="1:29" x14ac:dyDescent="0.25">
      <c r="A50" s="3"/>
      <c r="B50" s="49"/>
      <c r="V50" s="49"/>
      <c r="W50" s="12"/>
      <c r="X50" s="12"/>
      <c r="Y50" s="12"/>
      <c r="Z50" s="12"/>
      <c r="AA50" s="12"/>
      <c r="AB50" s="12"/>
      <c r="AC50" s="12"/>
    </row>
    <row r="51" spans="1:29" x14ac:dyDescent="0.25">
      <c r="A51" s="3"/>
      <c r="B51" s="49"/>
      <c r="V51" s="49"/>
      <c r="W51" s="12"/>
      <c r="X51" s="12"/>
      <c r="Y51" s="12"/>
      <c r="Z51" s="12"/>
      <c r="AA51" s="12"/>
      <c r="AB51" s="12"/>
      <c r="AC51" s="12"/>
    </row>
    <row r="52" spans="1:29" x14ac:dyDescent="0.25">
      <c r="A52" s="3"/>
      <c r="B52" s="49"/>
      <c r="V52" s="49"/>
      <c r="W52" s="12"/>
      <c r="X52" s="12"/>
      <c r="Y52" s="12"/>
      <c r="Z52" s="12"/>
      <c r="AA52" s="12"/>
      <c r="AB52" s="12"/>
      <c r="AC52" s="12"/>
    </row>
    <row r="53" spans="1:29" x14ac:dyDescent="0.25">
      <c r="A53" s="3"/>
      <c r="B53" s="49"/>
      <c r="V53" s="49"/>
      <c r="W53" s="12"/>
      <c r="X53" s="12"/>
      <c r="Y53" s="12"/>
      <c r="Z53" s="12"/>
      <c r="AA53" s="12"/>
      <c r="AB53" s="12"/>
      <c r="AC53" s="12"/>
    </row>
    <row r="54" spans="1:29" x14ac:dyDescent="0.25">
      <c r="A54" s="3"/>
      <c r="B54" s="49"/>
      <c r="V54" s="49"/>
      <c r="W54" s="12"/>
      <c r="X54" s="12"/>
      <c r="Y54" s="12"/>
      <c r="Z54" s="12"/>
      <c r="AA54" s="12"/>
      <c r="AB54" s="12"/>
      <c r="AC54" s="12"/>
    </row>
    <row r="55" spans="1:29" x14ac:dyDescent="0.25">
      <c r="A55" s="3"/>
      <c r="B55" s="49"/>
      <c r="V55" s="49"/>
      <c r="W55" s="12"/>
      <c r="X55" s="12"/>
      <c r="Y55" s="12"/>
      <c r="Z55" s="12"/>
      <c r="AA55" s="12"/>
      <c r="AB55" s="12"/>
      <c r="AC55" s="12"/>
    </row>
    <row r="56" spans="1:29" x14ac:dyDescent="0.25">
      <c r="A56" s="3"/>
      <c r="B56" s="49"/>
      <c r="V56" s="49"/>
      <c r="W56" s="12"/>
      <c r="X56" s="12"/>
      <c r="Y56" s="12"/>
      <c r="Z56" s="12"/>
      <c r="AA56" s="12"/>
      <c r="AB56" s="12"/>
      <c r="AC56" s="12"/>
    </row>
    <row r="57" spans="1:29" x14ac:dyDescent="0.25">
      <c r="A57" s="3"/>
      <c r="B57" s="49"/>
      <c r="V57" s="49"/>
      <c r="W57" s="12"/>
      <c r="X57" s="12"/>
      <c r="Y57" s="12"/>
      <c r="Z57" s="12"/>
      <c r="AA57" s="12"/>
      <c r="AB57" s="12"/>
      <c r="AC57" s="12"/>
    </row>
    <row r="58" spans="1:29" x14ac:dyDescent="0.25">
      <c r="A58" s="3"/>
      <c r="B58" s="49"/>
      <c r="V58" s="49"/>
      <c r="W58" s="12"/>
      <c r="X58" s="12"/>
      <c r="Y58" s="12"/>
      <c r="Z58" s="12"/>
      <c r="AA58" s="12"/>
      <c r="AB58" s="12"/>
      <c r="AC58" s="12"/>
    </row>
    <row r="59" spans="1:29" x14ac:dyDescent="0.25">
      <c r="A59" s="3"/>
      <c r="B59" s="49"/>
      <c r="V59" s="49"/>
      <c r="W59" s="12"/>
      <c r="X59" s="12"/>
      <c r="Y59" s="12"/>
      <c r="Z59" s="12"/>
      <c r="AA59" s="12"/>
      <c r="AB59" s="12"/>
      <c r="AC59" s="12"/>
    </row>
    <row r="60" spans="1:29" x14ac:dyDescent="0.25">
      <c r="A60" s="3"/>
      <c r="B60" s="49"/>
      <c r="V60" s="49"/>
      <c r="W60" s="12"/>
      <c r="X60" s="12"/>
      <c r="Y60" s="12"/>
      <c r="Z60" s="12"/>
      <c r="AA60" s="12"/>
      <c r="AB60" s="12"/>
      <c r="AC60" s="12"/>
    </row>
    <row r="61" spans="1:29" x14ac:dyDescent="0.25">
      <c r="A61" s="3"/>
      <c r="B61" s="49"/>
      <c r="V61" s="49"/>
      <c r="W61" s="12"/>
      <c r="X61" s="12"/>
      <c r="Y61" s="12"/>
      <c r="Z61" s="12"/>
      <c r="AA61" s="12"/>
      <c r="AB61" s="12"/>
      <c r="AC61" s="12"/>
    </row>
    <row r="62" spans="1:29" x14ac:dyDescent="0.25">
      <c r="A62" s="3"/>
      <c r="B62" s="49"/>
      <c r="V62" s="49"/>
      <c r="W62" s="12"/>
      <c r="X62" s="12"/>
      <c r="Y62" s="12"/>
      <c r="Z62" s="12"/>
      <c r="AA62" s="12"/>
      <c r="AB62" s="12"/>
      <c r="AC62" s="12"/>
    </row>
    <row r="63" spans="1:29" x14ac:dyDescent="0.25">
      <c r="A63" s="3"/>
      <c r="B63" s="49"/>
      <c r="V63" s="49"/>
      <c r="W63" s="12"/>
      <c r="X63" s="12"/>
      <c r="Y63" s="12"/>
      <c r="Z63" s="12"/>
      <c r="AA63" s="12"/>
      <c r="AB63" s="12"/>
      <c r="AC63" s="12"/>
    </row>
    <row r="64" spans="1:29" x14ac:dyDescent="0.25">
      <c r="A64" s="3"/>
      <c r="B64" s="49"/>
      <c r="V64" s="49"/>
      <c r="W64" s="12"/>
      <c r="X64" s="12"/>
      <c r="Y64" s="12"/>
      <c r="Z64" s="12"/>
      <c r="AA64" s="12"/>
      <c r="AB64" s="12"/>
      <c r="AC64" s="12"/>
    </row>
    <row r="65" spans="1:29" x14ac:dyDescent="0.25">
      <c r="A65" s="3"/>
      <c r="B65" s="49"/>
      <c r="V65" s="49"/>
      <c r="W65" s="12"/>
      <c r="X65" s="12"/>
      <c r="Y65" s="12"/>
      <c r="Z65" s="12"/>
      <c r="AA65" s="12"/>
      <c r="AB65" s="12"/>
      <c r="AC65" s="12"/>
    </row>
    <row r="66" spans="1:29" x14ac:dyDescent="0.25">
      <c r="A66" s="3"/>
      <c r="B66" s="49"/>
      <c r="V66" s="49"/>
      <c r="W66" s="12"/>
      <c r="X66" s="12"/>
      <c r="Y66" s="12"/>
      <c r="Z66" s="12"/>
      <c r="AA66" s="12"/>
      <c r="AB66" s="12"/>
      <c r="AC66" s="12"/>
    </row>
    <row r="67" spans="1:29" x14ac:dyDescent="0.25">
      <c r="A67" s="3"/>
      <c r="B67" s="49"/>
      <c r="V67" s="49"/>
      <c r="W67" s="12"/>
      <c r="X67" s="12"/>
      <c r="Y67" s="12"/>
      <c r="Z67" s="12"/>
      <c r="AA67" s="12"/>
      <c r="AB67" s="12"/>
      <c r="AC67" s="12"/>
    </row>
    <row r="68" spans="1:29" x14ac:dyDescent="0.25">
      <c r="A68" s="3"/>
      <c r="B68" s="49"/>
      <c r="V68" s="49"/>
      <c r="W68" s="12"/>
      <c r="X68" s="12"/>
      <c r="Y68" s="12"/>
      <c r="Z68" s="12"/>
      <c r="AA68" s="12"/>
      <c r="AB68" s="12"/>
      <c r="AC68" s="12"/>
    </row>
    <row r="69" spans="1:29" x14ac:dyDescent="0.25">
      <c r="A69" s="3"/>
      <c r="B69" s="49"/>
      <c r="V69" s="49"/>
      <c r="W69" s="12"/>
      <c r="X69" s="12"/>
      <c r="Y69" s="12"/>
      <c r="Z69" s="12"/>
      <c r="AA69" s="12"/>
      <c r="AB69" s="12"/>
      <c r="AC69" s="12"/>
    </row>
    <row r="70" spans="1:29" x14ac:dyDescent="0.25">
      <c r="A70" s="3"/>
      <c r="B70" s="49"/>
      <c r="V70" s="49"/>
      <c r="W70" s="12"/>
      <c r="X70" s="12"/>
      <c r="Y70" s="12"/>
      <c r="Z70" s="12"/>
      <c r="AA70" s="12"/>
      <c r="AB70" s="12"/>
      <c r="AC70" s="12"/>
    </row>
    <row r="71" spans="1:29" x14ac:dyDescent="0.25">
      <c r="A71" s="3"/>
      <c r="B71" s="49"/>
      <c r="V71" s="49"/>
      <c r="W71" s="12"/>
      <c r="X71" s="12"/>
      <c r="Y71" s="12"/>
      <c r="Z71" s="12"/>
      <c r="AA71" s="12"/>
      <c r="AB71" s="12"/>
      <c r="AC71" s="12"/>
    </row>
    <row r="72" spans="1:29" x14ac:dyDescent="0.25">
      <c r="A72" s="3"/>
      <c r="B72" s="49"/>
      <c r="V72" s="49"/>
      <c r="W72" s="12"/>
      <c r="X72" s="12"/>
      <c r="Y72" s="12"/>
      <c r="Z72" s="12"/>
      <c r="AA72" s="12"/>
      <c r="AB72" s="12"/>
      <c r="AC72" s="12"/>
    </row>
    <row r="73" spans="1:29" x14ac:dyDescent="0.25">
      <c r="A73" s="3"/>
      <c r="B73" s="49"/>
      <c r="V73" s="49"/>
      <c r="W73" s="12"/>
      <c r="X73" s="12"/>
      <c r="Y73" s="12"/>
      <c r="Z73" s="12"/>
      <c r="AA73" s="12"/>
      <c r="AB73" s="12"/>
      <c r="AC73" s="12"/>
    </row>
    <row r="74" spans="1:29" x14ac:dyDescent="0.25">
      <c r="A74" s="3"/>
      <c r="B74" s="49"/>
      <c r="V74" s="49"/>
      <c r="W74" s="12"/>
      <c r="X74" s="12"/>
      <c r="Y74" s="12"/>
      <c r="Z74" s="12"/>
      <c r="AA74" s="12"/>
      <c r="AB74" s="12"/>
      <c r="AC74" s="12"/>
    </row>
    <row r="75" spans="1:29" x14ac:dyDescent="0.25">
      <c r="A75" s="3"/>
      <c r="B75" s="49"/>
      <c r="V75" s="49"/>
      <c r="W75" s="12"/>
      <c r="X75" s="12"/>
      <c r="Y75" s="12"/>
      <c r="Z75" s="12"/>
      <c r="AA75" s="12"/>
      <c r="AB75" s="12"/>
      <c r="AC75" s="12"/>
    </row>
    <row r="76" spans="1:29" x14ac:dyDescent="0.25">
      <c r="A76" s="3"/>
      <c r="B76" s="49"/>
      <c r="V76" s="49"/>
      <c r="W76" s="12"/>
      <c r="X76" s="12"/>
      <c r="Y76" s="12"/>
      <c r="Z76" s="12"/>
      <c r="AA76" s="12"/>
      <c r="AB76" s="12"/>
      <c r="AC76" s="12"/>
    </row>
    <row r="77" spans="1:29" x14ac:dyDescent="0.25">
      <c r="A77" s="3"/>
      <c r="B77" s="49"/>
      <c r="V77" s="49"/>
      <c r="W77" s="12"/>
      <c r="X77" s="12"/>
      <c r="Y77" s="12"/>
      <c r="Z77" s="12"/>
      <c r="AA77" s="12"/>
      <c r="AB77" s="12"/>
      <c r="AC77" s="12"/>
    </row>
    <row r="78" spans="1:29" x14ac:dyDescent="0.25">
      <c r="A78" s="3"/>
      <c r="B78" s="49"/>
      <c r="V78" s="49"/>
      <c r="W78" s="12"/>
      <c r="X78" s="12"/>
      <c r="Y78" s="12"/>
      <c r="Z78" s="12"/>
      <c r="AA78" s="12"/>
      <c r="AB78" s="12"/>
      <c r="AC78" s="12"/>
    </row>
    <row r="79" spans="1:29" x14ac:dyDescent="0.25">
      <c r="A79" s="3"/>
      <c r="B79" s="49"/>
      <c r="V79" s="49"/>
      <c r="W79" s="12"/>
      <c r="X79" s="12"/>
      <c r="Y79" s="12"/>
      <c r="Z79" s="12"/>
      <c r="AA79" s="12"/>
      <c r="AB79" s="12"/>
      <c r="AC79" s="12"/>
    </row>
    <row r="80" spans="1:29" x14ac:dyDescent="0.25">
      <c r="A80" s="3"/>
      <c r="B80" s="49"/>
      <c r="V80" s="49"/>
      <c r="W80" s="12"/>
      <c r="X80" s="12"/>
      <c r="Y80" s="12"/>
      <c r="Z80" s="12"/>
      <c r="AA80" s="12"/>
      <c r="AB80" s="12"/>
      <c r="AC80" s="12"/>
    </row>
    <row r="81" spans="1:29" x14ac:dyDescent="0.25">
      <c r="A81" s="3"/>
      <c r="B81" s="49"/>
      <c r="V81" s="49"/>
      <c r="W81" s="12"/>
      <c r="X81" s="12"/>
      <c r="Y81" s="12"/>
      <c r="Z81" s="12"/>
      <c r="AA81" s="12"/>
      <c r="AB81" s="12"/>
      <c r="AC81" s="12"/>
    </row>
    <row r="82" spans="1:29" x14ac:dyDescent="0.25">
      <c r="A82" s="3"/>
      <c r="B82" s="49"/>
      <c r="V82" s="49"/>
      <c r="W82" s="12"/>
      <c r="X82" s="12"/>
      <c r="Y82" s="12"/>
      <c r="Z82" s="12"/>
      <c r="AA82" s="12"/>
      <c r="AB82" s="12"/>
      <c r="AC82" s="12"/>
    </row>
    <row r="83" spans="1:29" x14ac:dyDescent="0.25">
      <c r="A83" s="3"/>
      <c r="B83" s="49"/>
      <c r="V83" s="49"/>
      <c r="W83" s="12"/>
      <c r="X83" s="12"/>
      <c r="Y83" s="12"/>
      <c r="Z83" s="12"/>
      <c r="AA83" s="12"/>
      <c r="AB83" s="12"/>
      <c r="AC83" s="12"/>
    </row>
    <row r="84" spans="1:29" x14ac:dyDescent="0.25">
      <c r="A84" s="3"/>
      <c r="B84" s="49"/>
      <c r="H84" s="12"/>
      <c r="I84" s="3"/>
      <c r="J84" s="12"/>
      <c r="M84" s="12"/>
      <c r="V84" s="49"/>
      <c r="W84" s="12"/>
      <c r="X84" s="12"/>
      <c r="Y84" s="12"/>
      <c r="Z84" s="12"/>
      <c r="AA84" s="12"/>
      <c r="AB84" s="12"/>
      <c r="AC84" s="12"/>
    </row>
    <row r="85" spans="1:29" x14ac:dyDescent="0.25">
      <c r="A85" s="3"/>
      <c r="B85" s="49"/>
      <c r="H85" s="12"/>
      <c r="I85" s="3"/>
      <c r="J85" s="12"/>
      <c r="M85" s="12"/>
      <c r="V85" s="49"/>
      <c r="W85" s="12"/>
      <c r="X85" s="12"/>
      <c r="Y85" s="12"/>
      <c r="Z85" s="12"/>
      <c r="AA85" s="12"/>
      <c r="AB85" s="12"/>
      <c r="AC85" s="12"/>
    </row>
    <row r="86" spans="1:29" x14ac:dyDescent="0.25">
      <c r="A86" s="3"/>
      <c r="B86" s="49"/>
      <c r="H86" s="12"/>
      <c r="I86" s="3"/>
      <c r="J86" s="12"/>
      <c r="M86" s="12"/>
      <c r="V86" s="49"/>
      <c r="W86" s="12"/>
      <c r="X86" s="12"/>
      <c r="Y86" s="12"/>
      <c r="Z86" s="12"/>
      <c r="AA86" s="12"/>
      <c r="AB86" s="12"/>
      <c r="AC86" s="12"/>
    </row>
    <row r="87" spans="1:29" x14ac:dyDescent="0.25">
      <c r="A87" s="3"/>
      <c r="B87" s="49"/>
      <c r="H87" s="12"/>
      <c r="I87" s="3"/>
      <c r="J87" s="12"/>
      <c r="M87" s="12"/>
      <c r="V87" s="49"/>
      <c r="W87" s="12"/>
      <c r="X87" s="12"/>
      <c r="Y87" s="12"/>
      <c r="Z87" s="12"/>
      <c r="AA87" s="12"/>
      <c r="AB87" s="12"/>
      <c r="AC87" s="12"/>
    </row>
    <row r="88" spans="1:29" x14ac:dyDescent="0.25">
      <c r="A88" s="3"/>
      <c r="B88" s="49"/>
      <c r="H88" s="12"/>
      <c r="I88" s="3"/>
      <c r="J88" s="12"/>
      <c r="M88" s="12"/>
      <c r="V88" s="49"/>
      <c r="W88" s="12"/>
      <c r="X88" s="12"/>
      <c r="Y88" s="12"/>
      <c r="Z88" s="12"/>
      <c r="AA88" s="12"/>
      <c r="AB88" s="12"/>
      <c r="AC88" s="12"/>
    </row>
    <row r="89" spans="1:29" x14ac:dyDescent="0.25">
      <c r="A89" s="3"/>
      <c r="B89" s="49"/>
      <c r="H89" s="12"/>
      <c r="I89" s="3"/>
      <c r="J89" s="12"/>
      <c r="M89" s="12"/>
      <c r="V89" s="49"/>
      <c r="W89" s="12"/>
      <c r="X89" s="12"/>
      <c r="Y89" s="12"/>
      <c r="Z89" s="12"/>
      <c r="AA89" s="12"/>
      <c r="AB89" s="12"/>
      <c r="AC89" s="12"/>
    </row>
    <row r="90" spans="1:29" x14ac:dyDescent="0.25">
      <c r="A90" s="3"/>
      <c r="B90" s="49"/>
      <c r="H90" s="12"/>
      <c r="I90" s="3"/>
      <c r="J90" s="12"/>
      <c r="M90" s="12"/>
      <c r="V90" s="49"/>
      <c r="W90" s="12"/>
      <c r="X90" s="12"/>
      <c r="Y90" s="12"/>
      <c r="Z90" s="12"/>
      <c r="AA90" s="12"/>
      <c r="AB90" s="12"/>
      <c r="AC90" s="12"/>
    </row>
    <row r="91" spans="1:29" x14ac:dyDescent="0.25">
      <c r="A91" s="3"/>
      <c r="B91" s="49"/>
      <c r="V91" s="49"/>
      <c r="W91" s="12"/>
      <c r="X91" s="12"/>
      <c r="Y91" s="12"/>
      <c r="Z91" s="12"/>
      <c r="AA91" s="12"/>
      <c r="AB91" s="12"/>
      <c r="AC91" s="12"/>
    </row>
    <row r="92" spans="1:29" x14ac:dyDescent="0.25">
      <c r="A92" s="3"/>
      <c r="B92" s="49"/>
      <c r="H92" s="12"/>
      <c r="I92" s="3"/>
      <c r="J92" s="12"/>
      <c r="M92" s="12"/>
      <c r="V92" s="49"/>
      <c r="W92" s="12"/>
      <c r="X92" s="12"/>
      <c r="Y92" s="12"/>
      <c r="Z92" s="12"/>
      <c r="AA92" s="12"/>
      <c r="AB92" s="12"/>
      <c r="AC92" s="12"/>
    </row>
    <row r="93" spans="1:29" x14ac:dyDescent="0.25">
      <c r="A93" s="3"/>
      <c r="B93" s="49"/>
      <c r="H93" s="12"/>
      <c r="I93" s="3"/>
      <c r="J93" s="12"/>
      <c r="M93" s="12"/>
      <c r="V93" s="49"/>
      <c r="W93" s="12"/>
      <c r="X93" s="12"/>
      <c r="Y93" s="12"/>
      <c r="Z93" s="12"/>
      <c r="AA93" s="12"/>
      <c r="AB93" s="12"/>
      <c r="AC93" s="12"/>
    </row>
    <row r="94" spans="1:29" x14ac:dyDescent="0.25">
      <c r="A94" s="3"/>
      <c r="B94" s="49"/>
      <c r="V94" s="49"/>
      <c r="W94" s="12"/>
      <c r="X94" s="12"/>
      <c r="Y94" s="12"/>
      <c r="Z94" s="12"/>
      <c r="AA94" s="12"/>
      <c r="AB94" s="12"/>
      <c r="AC94" s="12"/>
    </row>
    <row r="95" spans="1:29" x14ac:dyDescent="0.25">
      <c r="A95" s="3"/>
      <c r="B95" s="49"/>
      <c r="H95" s="12"/>
      <c r="I95" s="3"/>
      <c r="J95" s="12"/>
      <c r="M95" s="12"/>
      <c r="V95" s="49"/>
      <c r="W95" s="12"/>
      <c r="X95" s="12"/>
      <c r="Y95" s="12"/>
      <c r="Z95" s="12"/>
      <c r="AA95" s="12"/>
      <c r="AB95" s="12"/>
      <c r="AC95" s="12"/>
    </row>
    <row r="96" spans="1:29" x14ac:dyDescent="0.25">
      <c r="A96" s="3"/>
      <c r="B96" s="49"/>
      <c r="H96" s="12"/>
      <c r="I96" s="3"/>
      <c r="J96" s="12"/>
      <c r="M96" s="12"/>
      <c r="V96" s="49"/>
      <c r="W96" s="12"/>
      <c r="X96" s="12"/>
      <c r="Y96" s="12"/>
      <c r="Z96" s="12"/>
      <c r="AA96" s="12"/>
      <c r="AB96" s="12"/>
      <c r="AC96" s="12"/>
    </row>
    <row r="97" spans="1:29" x14ac:dyDescent="0.25">
      <c r="A97" s="3"/>
      <c r="B97" s="49"/>
      <c r="H97" s="12"/>
      <c r="I97" s="3"/>
      <c r="J97" s="12"/>
      <c r="M97" s="12"/>
      <c r="V97" s="49"/>
      <c r="W97" s="12"/>
      <c r="X97" s="12"/>
      <c r="Y97" s="12"/>
      <c r="Z97" s="12"/>
      <c r="AA97" s="12"/>
      <c r="AB97" s="12"/>
      <c r="AC97" s="12"/>
    </row>
    <row r="98" spans="1:29" x14ac:dyDescent="0.25">
      <c r="A98" s="3"/>
      <c r="B98" s="49"/>
      <c r="H98" s="12"/>
      <c r="I98" s="3"/>
      <c r="J98" s="12"/>
      <c r="M98" s="12"/>
      <c r="V98" s="49"/>
      <c r="W98" s="12"/>
      <c r="X98" s="12"/>
      <c r="Y98" s="12"/>
      <c r="Z98" s="12"/>
      <c r="AA98" s="12"/>
      <c r="AB98" s="12"/>
      <c r="AC98" s="12"/>
    </row>
    <row r="99" spans="1:29" x14ac:dyDescent="0.25">
      <c r="A99" s="3"/>
      <c r="B99" s="49"/>
      <c r="V99" s="49"/>
      <c r="W99" s="12"/>
      <c r="X99" s="12"/>
      <c r="Y99" s="12"/>
      <c r="Z99" s="12"/>
      <c r="AA99" s="12"/>
      <c r="AB99" s="12"/>
      <c r="AC99" s="12"/>
    </row>
    <row r="100" spans="1:29" x14ac:dyDescent="0.25">
      <c r="A100" s="3"/>
      <c r="B100" s="49"/>
      <c r="H100" s="12"/>
      <c r="I100" s="3"/>
      <c r="J100" s="12"/>
      <c r="M100" s="12"/>
      <c r="V100" s="49"/>
      <c r="W100" s="12"/>
      <c r="X100" s="12"/>
      <c r="Y100" s="12"/>
      <c r="Z100" s="12"/>
      <c r="AA100" s="12"/>
      <c r="AB100" s="12"/>
      <c r="AC100" s="12"/>
    </row>
    <row r="101" spans="1:29" x14ac:dyDescent="0.25">
      <c r="A101" s="3"/>
      <c r="B101" s="49"/>
      <c r="V101" s="49"/>
      <c r="W101" s="12"/>
      <c r="X101" s="12"/>
      <c r="Y101" s="12"/>
      <c r="Z101" s="12"/>
      <c r="AA101" s="12"/>
      <c r="AB101" s="12"/>
      <c r="AC101" s="12"/>
    </row>
    <row r="102" spans="1:29" x14ac:dyDescent="0.25">
      <c r="A102" s="3"/>
      <c r="B102" s="49"/>
      <c r="H102" s="12"/>
      <c r="I102" s="3"/>
      <c r="J102" s="12"/>
      <c r="M102" s="12"/>
      <c r="U102" s="14"/>
      <c r="V102" s="49"/>
      <c r="W102" s="12"/>
      <c r="X102" s="12"/>
      <c r="Y102" s="12"/>
      <c r="Z102" s="12"/>
      <c r="AA102" s="12"/>
      <c r="AB102" s="12"/>
      <c r="AC102" s="12"/>
    </row>
    <row r="103" spans="1:29" x14ac:dyDescent="0.25">
      <c r="A103" s="3"/>
      <c r="B103" s="49"/>
      <c r="H103" s="12"/>
      <c r="I103" s="3"/>
      <c r="J103" s="12"/>
      <c r="M103" s="12"/>
      <c r="U103" s="14"/>
      <c r="V103" s="49"/>
      <c r="W103" s="12"/>
      <c r="X103" s="12"/>
      <c r="Y103" s="12"/>
      <c r="Z103" s="12"/>
      <c r="AA103" s="12"/>
      <c r="AB103" s="12"/>
      <c r="AC103" s="12"/>
    </row>
    <row r="104" spans="1:29" x14ac:dyDescent="0.25">
      <c r="A104" s="3"/>
      <c r="B104" s="49"/>
      <c r="H104" s="12"/>
      <c r="I104" s="3"/>
      <c r="J104" s="12"/>
      <c r="M104" s="12"/>
      <c r="U104" s="14"/>
      <c r="V104" s="49"/>
      <c r="W104" s="12"/>
      <c r="X104" s="12"/>
      <c r="Y104" s="12"/>
      <c r="Z104" s="12"/>
      <c r="AA104" s="12"/>
      <c r="AB104" s="12"/>
      <c r="AC104" s="12"/>
    </row>
    <row r="105" spans="1:29" x14ac:dyDescent="0.25">
      <c r="A105" s="3"/>
      <c r="B105" s="49"/>
      <c r="V105" s="49"/>
      <c r="W105" s="12"/>
      <c r="X105" s="12"/>
      <c r="Y105" s="12"/>
      <c r="Z105" s="12"/>
      <c r="AA105" s="12"/>
      <c r="AB105" s="12"/>
      <c r="AC105" s="12"/>
    </row>
    <row r="106" spans="1:29" x14ac:dyDescent="0.25">
      <c r="A106" s="3"/>
      <c r="B106" s="49"/>
      <c r="H106" s="12"/>
      <c r="I106" s="3"/>
      <c r="J106" s="12"/>
      <c r="M106" s="12"/>
      <c r="U106" s="14"/>
      <c r="V106" s="49"/>
      <c r="W106" s="12"/>
      <c r="X106" s="12"/>
      <c r="Y106" s="12"/>
      <c r="Z106" s="12"/>
      <c r="AA106" s="12"/>
      <c r="AB106" s="12"/>
      <c r="AC106" s="12"/>
    </row>
    <row r="107" spans="1:29" x14ac:dyDescent="0.25">
      <c r="A107" s="3"/>
      <c r="B107" s="49"/>
      <c r="H107" s="12"/>
      <c r="I107" s="3"/>
      <c r="J107" s="12"/>
      <c r="M107" s="12"/>
      <c r="U107" s="14"/>
      <c r="V107" s="49"/>
      <c r="W107" s="12"/>
      <c r="X107" s="12"/>
      <c r="Y107" s="12"/>
      <c r="Z107" s="12"/>
      <c r="AA107" s="12"/>
      <c r="AB107" s="12"/>
      <c r="AC107" s="12"/>
    </row>
    <row r="108" spans="1:29" x14ac:dyDescent="0.25">
      <c r="A108" s="3"/>
      <c r="B108" s="49"/>
      <c r="V108" s="49"/>
      <c r="W108" s="12"/>
      <c r="X108" s="12"/>
      <c r="Y108" s="12"/>
      <c r="Z108" s="12"/>
      <c r="AA108" s="12"/>
      <c r="AB108" s="12"/>
      <c r="AC108" s="12"/>
    </row>
    <row r="109" spans="1:29" x14ac:dyDescent="0.25">
      <c r="A109" s="3"/>
      <c r="B109" s="49"/>
      <c r="H109" s="12"/>
      <c r="I109" s="3"/>
      <c r="J109" s="12"/>
      <c r="M109" s="12"/>
      <c r="U109" s="14"/>
      <c r="V109" s="49"/>
      <c r="W109" s="12"/>
      <c r="X109" s="12"/>
      <c r="Y109" s="12"/>
      <c r="Z109" s="12"/>
      <c r="AA109" s="12"/>
      <c r="AB109" s="12"/>
      <c r="AC109" s="12"/>
    </row>
    <row r="110" spans="1:29" x14ac:dyDescent="0.25">
      <c r="A110" s="3"/>
      <c r="B110" s="49"/>
      <c r="H110" s="12"/>
      <c r="I110" s="3"/>
      <c r="J110" s="12"/>
      <c r="M110" s="12"/>
      <c r="U110" s="14"/>
      <c r="V110" s="49"/>
      <c r="W110" s="12"/>
      <c r="X110" s="12"/>
      <c r="Y110" s="12"/>
      <c r="Z110" s="12"/>
      <c r="AA110" s="12"/>
      <c r="AB110" s="12"/>
      <c r="AC110" s="12"/>
    </row>
    <row r="111" spans="1:29" x14ac:dyDescent="0.25">
      <c r="A111" s="3"/>
      <c r="B111" s="49"/>
      <c r="V111" s="49"/>
      <c r="W111" s="12"/>
      <c r="X111" s="12"/>
      <c r="Y111" s="12"/>
      <c r="Z111" s="12"/>
      <c r="AA111" s="12"/>
      <c r="AB111" s="12"/>
      <c r="AC111" s="12"/>
    </row>
    <row r="112" spans="1:29" x14ac:dyDescent="0.25">
      <c r="A112" s="3"/>
      <c r="B112" s="49"/>
      <c r="U112" s="14"/>
      <c r="V112" s="49"/>
      <c r="W112" s="12"/>
      <c r="X112" s="12"/>
      <c r="Y112" s="12"/>
      <c r="Z112" s="12"/>
      <c r="AA112" s="12"/>
      <c r="AB112" s="12"/>
      <c r="AC112" s="12"/>
    </row>
    <row r="113" spans="1:29" x14ac:dyDescent="0.25">
      <c r="A113" s="3"/>
      <c r="B113" s="49"/>
      <c r="V113" s="49"/>
      <c r="W113" s="12"/>
      <c r="X113" s="12"/>
      <c r="Y113" s="12"/>
      <c r="Z113" s="12"/>
      <c r="AA113" s="12"/>
      <c r="AB113" s="12"/>
      <c r="AC113" s="12"/>
    </row>
    <row r="114" spans="1:29" x14ac:dyDescent="0.25">
      <c r="A114" s="3"/>
      <c r="B114" s="49"/>
      <c r="V114" s="49"/>
      <c r="W114" s="12"/>
      <c r="X114" s="12"/>
      <c r="Y114" s="12"/>
      <c r="Z114" s="12"/>
      <c r="AA114" s="12"/>
      <c r="AB114" s="12"/>
      <c r="AC114" s="12"/>
    </row>
    <row r="115" spans="1:29" x14ac:dyDescent="0.25">
      <c r="A115" s="3"/>
      <c r="B115" s="49"/>
      <c r="U115" s="14"/>
      <c r="V115" s="49"/>
      <c r="W115" s="12"/>
      <c r="X115" s="12"/>
      <c r="Y115" s="12"/>
      <c r="Z115" s="12"/>
      <c r="AA115" s="12"/>
      <c r="AB115" s="12"/>
      <c r="AC115" s="12"/>
    </row>
    <row r="116" spans="1:29" x14ac:dyDescent="0.25">
      <c r="A116" s="3"/>
      <c r="B116" s="49"/>
      <c r="H116" s="12"/>
      <c r="I116" s="3"/>
      <c r="J116" s="12"/>
      <c r="M116" s="12"/>
      <c r="U116" s="14"/>
      <c r="V116" s="49"/>
      <c r="W116" s="12"/>
      <c r="X116" s="12"/>
      <c r="Y116" s="12"/>
      <c r="Z116" s="12"/>
      <c r="AA116" s="12"/>
      <c r="AB116" s="12"/>
      <c r="AC116" s="12"/>
    </row>
    <row r="117" spans="1:29" x14ac:dyDescent="0.25">
      <c r="A117" s="3"/>
      <c r="B117" s="49"/>
      <c r="H117" s="12"/>
      <c r="I117" s="3"/>
      <c r="J117" s="12"/>
      <c r="M117" s="12"/>
      <c r="U117" s="14"/>
      <c r="V117" s="49"/>
      <c r="W117" s="12"/>
      <c r="X117" s="12"/>
      <c r="Y117" s="12"/>
      <c r="Z117" s="12"/>
      <c r="AA117" s="12"/>
      <c r="AB117" s="12"/>
      <c r="AC117" s="12"/>
    </row>
    <row r="118" spans="1:29" x14ac:dyDescent="0.25">
      <c r="A118" s="3"/>
      <c r="B118" s="49"/>
      <c r="H118" s="12"/>
      <c r="I118" s="3"/>
      <c r="J118" s="12"/>
      <c r="M118" s="12"/>
      <c r="U118" s="14"/>
      <c r="V118" s="49"/>
      <c r="W118" s="12"/>
      <c r="X118" s="12"/>
      <c r="Y118" s="12"/>
      <c r="Z118" s="12"/>
      <c r="AA118" s="12"/>
      <c r="AB118" s="12"/>
      <c r="AC118" s="12"/>
    </row>
    <row r="119" spans="1:29" x14ac:dyDescent="0.25">
      <c r="A119" s="3"/>
      <c r="B119" s="49"/>
      <c r="H119" s="12"/>
      <c r="I119" s="3"/>
      <c r="J119" s="12"/>
      <c r="M119" s="12"/>
      <c r="U119" s="14"/>
      <c r="V119" s="49"/>
      <c r="W119" s="12"/>
      <c r="X119" s="12"/>
      <c r="Y119" s="12"/>
      <c r="Z119" s="12"/>
      <c r="AA119" s="12"/>
      <c r="AB119" s="12"/>
      <c r="AC119" s="12"/>
    </row>
    <row r="120" spans="1:29" x14ac:dyDescent="0.25">
      <c r="A120" s="3"/>
      <c r="B120" s="49"/>
      <c r="H120" s="12"/>
      <c r="I120" s="3"/>
      <c r="J120" s="12"/>
      <c r="M120" s="12"/>
      <c r="U120" s="14"/>
      <c r="V120" s="49"/>
      <c r="W120" s="12"/>
      <c r="X120" s="12"/>
      <c r="Y120" s="12"/>
      <c r="Z120" s="12"/>
      <c r="AA120" s="12"/>
      <c r="AB120" s="12"/>
      <c r="AC120" s="12"/>
    </row>
    <row r="121" spans="1:29" x14ac:dyDescent="0.25">
      <c r="A121" s="3"/>
      <c r="B121" s="49"/>
      <c r="H121" s="12"/>
      <c r="I121" s="3"/>
      <c r="J121" s="12"/>
      <c r="M121" s="12"/>
      <c r="U121" s="14"/>
      <c r="V121" s="49"/>
      <c r="W121" s="12"/>
      <c r="X121" s="12"/>
      <c r="Y121" s="12"/>
      <c r="Z121" s="12"/>
      <c r="AA121" s="12"/>
      <c r="AB121" s="12"/>
      <c r="AC121" s="12"/>
    </row>
    <row r="122" spans="1:29" x14ac:dyDescent="0.25">
      <c r="A122" s="3"/>
      <c r="B122" s="49"/>
      <c r="H122" s="12"/>
      <c r="I122" s="3"/>
      <c r="J122" s="12"/>
      <c r="M122" s="12"/>
      <c r="U122" s="14"/>
      <c r="V122" s="49"/>
      <c r="W122" s="12"/>
      <c r="X122" s="12"/>
      <c r="Y122" s="12"/>
      <c r="Z122" s="12"/>
      <c r="AA122" s="12"/>
      <c r="AB122" s="12"/>
      <c r="AC122" s="12"/>
    </row>
    <row r="123" spans="1:29" x14ac:dyDescent="0.25">
      <c r="A123" s="3"/>
      <c r="B123" s="49"/>
      <c r="H123" s="12"/>
      <c r="I123" s="3"/>
      <c r="J123" s="12"/>
      <c r="M123" s="12"/>
      <c r="U123" s="14"/>
      <c r="V123" s="49"/>
      <c r="W123" s="12"/>
      <c r="X123" s="12"/>
      <c r="Y123" s="12"/>
      <c r="Z123" s="12"/>
      <c r="AA123" s="12"/>
      <c r="AB123" s="12"/>
      <c r="AC123" s="12"/>
    </row>
    <row r="124" spans="1:29" x14ac:dyDescent="0.25">
      <c r="A124" s="3"/>
      <c r="B124" s="49"/>
      <c r="H124" s="12"/>
      <c r="I124" s="3"/>
      <c r="J124" s="12"/>
      <c r="M124" s="12"/>
      <c r="U124" s="14"/>
      <c r="V124" s="49"/>
      <c r="W124" s="12"/>
      <c r="X124" s="12"/>
      <c r="Y124" s="12"/>
      <c r="Z124" s="12"/>
      <c r="AA124" s="12"/>
      <c r="AB124" s="12"/>
      <c r="AC124" s="12"/>
    </row>
    <row r="125" spans="1:29" x14ac:dyDescent="0.25">
      <c r="A125" s="3"/>
      <c r="B125" s="49"/>
      <c r="H125" s="12"/>
      <c r="I125" s="3"/>
      <c r="J125" s="12"/>
      <c r="M125" s="12"/>
      <c r="U125" s="14"/>
      <c r="V125" s="49"/>
      <c r="W125" s="12"/>
      <c r="X125" s="12"/>
      <c r="Y125" s="12"/>
      <c r="Z125" s="12"/>
      <c r="AA125" s="12"/>
      <c r="AB125" s="12"/>
      <c r="AC125" s="12"/>
    </row>
    <row r="126" spans="1:29" x14ac:dyDescent="0.25">
      <c r="A126" s="3"/>
      <c r="B126" s="49"/>
      <c r="H126" s="12"/>
      <c r="I126" s="3"/>
      <c r="J126" s="12"/>
      <c r="M126" s="12"/>
      <c r="U126" s="14"/>
      <c r="V126" s="49"/>
      <c r="W126" s="12"/>
      <c r="X126" s="12"/>
      <c r="Y126" s="12"/>
      <c r="Z126" s="12"/>
      <c r="AA126" s="12"/>
      <c r="AB126" s="12"/>
      <c r="AC126" s="12"/>
    </row>
    <row r="127" spans="1:29" x14ac:dyDescent="0.25">
      <c r="A127" s="3"/>
      <c r="B127" s="49"/>
      <c r="H127" s="12"/>
      <c r="I127" s="3"/>
      <c r="J127" s="12"/>
      <c r="M127" s="12"/>
      <c r="U127" s="14"/>
      <c r="V127" s="49"/>
      <c r="W127" s="12"/>
      <c r="X127" s="12"/>
      <c r="Y127" s="12"/>
      <c r="Z127" s="12"/>
      <c r="AA127" s="12"/>
      <c r="AB127" s="12"/>
      <c r="AC127" s="12"/>
    </row>
    <row r="128" spans="1:29" x14ac:dyDescent="0.25">
      <c r="A128" s="3"/>
      <c r="B128" s="49"/>
      <c r="H128" s="12"/>
      <c r="I128" s="3"/>
      <c r="J128" s="12"/>
      <c r="M128" s="12"/>
      <c r="U128" s="14"/>
      <c r="V128" s="49"/>
      <c r="W128" s="12"/>
      <c r="X128" s="12"/>
      <c r="Y128" s="12"/>
      <c r="Z128" s="12"/>
      <c r="AA128" s="12"/>
      <c r="AB128" s="12"/>
      <c r="AC128" s="12"/>
    </row>
    <row r="129" spans="1:29" x14ac:dyDescent="0.25">
      <c r="A129" s="3"/>
      <c r="B129" s="49"/>
      <c r="H129" s="12"/>
      <c r="I129" s="3"/>
      <c r="J129" s="12"/>
      <c r="M129" s="12"/>
      <c r="U129" s="14"/>
      <c r="V129" s="49"/>
      <c r="W129" s="12"/>
      <c r="X129" s="12"/>
      <c r="Y129" s="12"/>
      <c r="Z129" s="12"/>
      <c r="AA129" s="12"/>
      <c r="AB129" s="12"/>
      <c r="AC129" s="12"/>
    </row>
    <row r="130" spans="1:29" x14ac:dyDescent="0.25">
      <c r="A130" s="3"/>
      <c r="B130" s="49"/>
      <c r="H130" s="12"/>
      <c r="I130" s="3"/>
      <c r="J130" s="12"/>
      <c r="M130" s="12"/>
      <c r="U130" s="14"/>
      <c r="V130" s="49"/>
      <c r="W130" s="12"/>
      <c r="X130" s="12"/>
      <c r="Y130" s="12"/>
      <c r="Z130" s="12"/>
      <c r="AA130" s="12"/>
      <c r="AB130" s="12"/>
      <c r="AC130" s="12"/>
    </row>
    <row r="131" spans="1:29" x14ac:dyDescent="0.25">
      <c r="A131" s="3"/>
      <c r="B131" s="49"/>
      <c r="H131" s="12"/>
      <c r="I131" s="3"/>
      <c r="J131" s="12"/>
      <c r="M131" s="12"/>
      <c r="U131" s="14"/>
      <c r="V131" s="49"/>
      <c r="W131" s="12"/>
      <c r="X131" s="12"/>
      <c r="Y131" s="12"/>
      <c r="Z131" s="12"/>
      <c r="AA131" s="12"/>
      <c r="AB131" s="12"/>
      <c r="AC131" s="12"/>
    </row>
    <row r="132" spans="1:29" x14ac:dyDescent="0.25">
      <c r="A132" s="3"/>
      <c r="B132" s="49"/>
      <c r="H132" s="12"/>
      <c r="I132" s="3"/>
      <c r="J132" s="12"/>
      <c r="M132" s="12"/>
      <c r="U132" s="14"/>
      <c r="V132" s="49"/>
      <c r="W132" s="12"/>
      <c r="X132" s="12"/>
      <c r="Y132" s="12"/>
      <c r="Z132" s="12"/>
      <c r="AA132" s="12"/>
      <c r="AB132" s="12"/>
      <c r="AC132" s="12"/>
    </row>
    <row r="133" spans="1:29" x14ac:dyDescent="0.25">
      <c r="A133" s="3"/>
      <c r="B133" s="49"/>
      <c r="H133" s="12"/>
      <c r="I133" s="3"/>
      <c r="J133" s="12"/>
      <c r="M133" s="12"/>
      <c r="U133" s="14"/>
      <c r="V133" s="49"/>
      <c r="W133" s="12"/>
      <c r="X133" s="12"/>
      <c r="Y133" s="12"/>
      <c r="Z133" s="12"/>
      <c r="AA133" s="12"/>
      <c r="AB133" s="12"/>
      <c r="AC133" s="12"/>
    </row>
    <row r="134" spans="1:29" x14ac:dyDescent="0.25">
      <c r="A134" s="3"/>
      <c r="B134" s="49"/>
      <c r="H134" s="12"/>
      <c r="I134" s="3"/>
      <c r="J134" s="12"/>
      <c r="M134" s="12"/>
      <c r="U134" s="14"/>
      <c r="V134" s="49"/>
      <c r="W134" s="12"/>
      <c r="X134" s="12"/>
      <c r="Y134" s="12"/>
      <c r="Z134" s="12"/>
      <c r="AA134" s="12"/>
      <c r="AB134" s="12"/>
      <c r="AC134" s="12"/>
    </row>
    <row r="135" spans="1:29" x14ac:dyDescent="0.25">
      <c r="A135" s="3"/>
      <c r="B135" s="49"/>
      <c r="H135" s="12"/>
      <c r="I135" s="3"/>
      <c r="J135" s="12"/>
      <c r="M135" s="12"/>
      <c r="U135" s="14"/>
      <c r="V135" s="49"/>
      <c r="W135" s="12"/>
      <c r="X135" s="12"/>
      <c r="Y135" s="12"/>
      <c r="Z135" s="12"/>
      <c r="AA135" s="12"/>
      <c r="AB135" s="12"/>
      <c r="AC135" s="12"/>
    </row>
    <row r="136" spans="1:29" x14ac:dyDescent="0.25">
      <c r="A136" s="3"/>
      <c r="B136" s="49"/>
      <c r="H136" s="12"/>
      <c r="I136" s="3"/>
      <c r="J136" s="12"/>
      <c r="M136" s="12"/>
      <c r="U136" s="14"/>
      <c r="V136" s="49"/>
      <c r="W136" s="12"/>
      <c r="X136" s="12"/>
      <c r="Y136" s="12"/>
      <c r="Z136" s="12"/>
      <c r="AA136" s="12"/>
      <c r="AB136" s="12"/>
      <c r="AC136" s="12"/>
    </row>
    <row r="137" spans="1:29" x14ac:dyDescent="0.25">
      <c r="A137" s="3"/>
      <c r="B137" s="49"/>
      <c r="H137" s="12"/>
      <c r="I137" s="3"/>
      <c r="J137" s="12"/>
      <c r="M137" s="12"/>
      <c r="U137" s="14"/>
      <c r="V137" s="49"/>
      <c r="W137" s="12"/>
      <c r="X137" s="12"/>
      <c r="Y137" s="12"/>
      <c r="Z137" s="12"/>
      <c r="AA137" s="12"/>
      <c r="AB137" s="12"/>
      <c r="AC137" s="12"/>
    </row>
    <row r="138" spans="1:29" x14ac:dyDescent="0.25">
      <c r="A138" s="3"/>
      <c r="B138" s="49"/>
      <c r="H138" s="12"/>
      <c r="I138" s="3"/>
      <c r="J138" s="12"/>
      <c r="M138" s="12"/>
      <c r="U138" s="14"/>
      <c r="V138" s="49"/>
      <c r="W138" s="12"/>
      <c r="X138" s="12"/>
      <c r="Y138" s="12"/>
      <c r="Z138" s="12"/>
      <c r="AA138" s="12"/>
      <c r="AB138" s="12"/>
      <c r="AC138" s="12"/>
    </row>
    <row r="139" spans="1:29" x14ac:dyDescent="0.25">
      <c r="A139" s="3"/>
      <c r="B139" s="49"/>
      <c r="U139" s="14"/>
      <c r="V139" s="49"/>
      <c r="W139" s="12"/>
      <c r="X139" s="12"/>
      <c r="Y139" s="12"/>
      <c r="Z139" s="12"/>
      <c r="AA139" s="12"/>
      <c r="AB139" s="12"/>
      <c r="AC139" s="12"/>
    </row>
    <row r="140" spans="1:29" x14ac:dyDescent="0.25">
      <c r="A140" s="3"/>
      <c r="B140" s="49"/>
      <c r="U140" s="14"/>
      <c r="V140" s="49"/>
      <c r="W140" s="12"/>
      <c r="X140" s="12"/>
      <c r="Y140" s="12"/>
      <c r="Z140" s="12"/>
      <c r="AA140" s="12"/>
      <c r="AB140" s="12"/>
      <c r="AC140" s="12"/>
    </row>
    <row r="141" spans="1:29" x14ac:dyDescent="0.25">
      <c r="A141" s="3"/>
      <c r="B141" s="49"/>
      <c r="V141" s="49"/>
      <c r="W141" s="12"/>
      <c r="X141" s="12"/>
      <c r="Y141" s="12"/>
      <c r="Z141" s="12"/>
      <c r="AA141" s="12"/>
      <c r="AB141" s="12"/>
      <c r="AC141" s="12"/>
    </row>
    <row r="142" spans="1:29" x14ac:dyDescent="0.25">
      <c r="A142" s="3"/>
      <c r="B142" s="49"/>
      <c r="U142" s="14"/>
      <c r="V142" s="49"/>
      <c r="W142" s="12"/>
      <c r="X142" s="12"/>
      <c r="Y142" s="12"/>
      <c r="Z142" s="12"/>
      <c r="AA142" s="12"/>
      <c r="AB142" s="12"/>
      <c r="AC142" s="12"/>
    </row>
    <row r="143" spans="1:29" x14ac:dyDescent="0.25">
      <c r="A143" s="3"/>
      <c r="B143" s="49"/>
      <c r="H143" s="12"/>
      <c r="I143" s="3"/>
      <c r="J143" s="12"/>
      <c r="M143" s="12"/>
      <c r="V143" s="49"/>
      <c r="W143" s="12"/>
      <c r="X143" s="12"/>
      <c r="Y143" s="12"/>
      <c r="Z143" s="12"/>
      <c r="AA143" s="12"/>
      <c r="AB143" s="12"/>
      <c r="AC143" s="12"/>
    </row>
    <row r="144" spans="1:29" x14ac:dyDescent="0.25">
      <c r="A144" s="3"/>
      <c r="B144" s="49"/>
      <c r="H144" s="12"/>
      <c r="I144" s="3"/>
      <c r="J144" s="12"/>
      <c r="M144" s="12"/>
      <c r="V144" s="49"/>
      <c r="W144" s="12"/>
      <c r="X144" s="12"/>
      <c r="Y144" s="12"/>
      <c r="Z144" s="12"/>
      <c r="AA144" s="12"/>
      <c r="AB144" s="12"/>
      <c r="AC144" s="12"/>
    </row>
    <row r="145" spans="1:29" x14ac:dyDescent="0.25">
      <c r="A145" s="3"/>
      <c r="B145" s="49"/>
      <c r="H145" s="12"/>
      <c r="I145" s="3"/>
      <c r="J145" s="12"/>
      <c r="M145" s="12"/>
      <c r="V145" s="49"/>
      <c r="W145" s="12"/>
      <c r="X145" s="12"/>
      <c r="Y145" s="12"/>
      <c r="Z145" s="12"/>
      <c r="AA145" s="12"/>
      <c r="AB145" s="12"/>
      <c r="AC145" s="12"/>
    </row>
    <row r="146" spans="1:29" x14ac:dyDescent="0.25">
      <c r="A146" s="3"/>
      <c r="B146" s="49"/>
      <c r="H146" s="12"/>
      <c r="I146" s="3"/>
      <c r="J146" s="12"/>
      <c r="M146" s="12"/>
      <c r="V146" s="49"/>
      <c r="W146" s="12"/>
      <c r="X146" s="12"/>
      <c r="Y146" s="12"/>
      <c r="Z146" s="12"/>
      <c r="AA146" s="12"/>
      <c r="AB146" s="12"/>
      <c r="AC146" s="12"/>
    </row>
    <row r="147" spans="1:29" x14ac:dyDescent="0.25">
      <c r="A147" s="3"/>
      <c r="B147" s="49"/>
      <c r="H147" s="12"/>
      <c r="I147" s="3"/>
      <c r="J147" s="12"/>
      <c r="M147" s="12"/>
      <c r="V147" s="49"/>
      <c r="W147" s="12"/>
      <c r="X147" s="12"/>
      <c r="Y147" s="12"/>
      <c r="Z147" s="12"/>
      <c r="AA147" s="12"/>
      <c r="AB147" s="12"/>
      <c r="AC147" s="12"/>
    </row>
    <row r="148" spans="1:29" x14ac:dyDescent="0.25">
      <c r="A148" s="3"/>
      <c r="B148" s="49"/>
      <c r="H148" s="12"/>
      <c r="I148" s="3"/>
      <c r="J148" s="12"/>
      <c r="M148" s="12"/>
      <c r="V148" s="49"/>
      <c r="W148" s="12"/>
      <c r="X148" s="12"/>
      <c r="Y148" s="12"/>
      <c r="Z148" s="12"/>
      <c r="AA148" s="12"/>
      <c r="AB148" s="12"/>
      <c r="AC148" s="12"/>
    </row>
    <row r="149" spans="1:29" x14ac:dyDescent="0.25">
      <c r="A149" s="3"/>
      <c r="B149" s="49"/>
      <c r="H149" s="12"/>
      <c r="I149" s="3"/>
      <c r="J149" s="12"/>
      <c r="M149" s="12"/>
      <c r="V149" s="49"/>
      <c r="W149" s="12"/>
      <c r="X149" s="12"/>
      <c r="Y149" s="12"/>
      <c r="Z149" s="12"/>
      <c r="AA149" s="12"/>
      <c r="AB149" s="12"/>
      <c r="AC149" s="12"/>
    </row>
    <row r="150" spans="1:29" x14ac:dyDescent="0.25">
      <c r="A150" s="3"/>
      <c r="B150" s="49"/>
      <c r="H150" s="12"/>
      <c r="I150" s="3"/>
      <c r="J150" s="12"/>
      <c r="M150" s="12"/>
      <c r="V150" s="49"/>
      <c r="W150" s="12"/>
      <c r="X150" s="12"/>
      <c r="Y150" s="12"/>
      <c r="Z150" s="12"/>
      <c r="AA150" s="12"/>
      <c r="AB150" s="12"/>
      <c r="AC150" s="12"/>
    </row>
    <row r="151" spans="1:29" x14ac:dyDescent="0.25">
      <c r="A151" s="3"/>
      <c r="B151" s="49"/>
      <c r="H151" s="12"/>
      <c r="I151" s="3"/>
      <c r="J151" s="12"/>
      <c r="M151" s="12"/>
      <c r="V151" s="49"/>
      <c r="W151" s="12"/>
      <c r="X151" s="12"/>
      <c r="Y151" s="12"/>
      <c r="Z151" s="12"/>
      <c r="AA151" s="12"/>
      <c r="AB151" s="12"/>
      <c r="AC151" s="12"/>
    </row>
    <row r="152" spans="1:29" x14ac:dyDescent="0.25">
      <c r="A152" s="3"/>
      <c r="B152" s="49"/>
      <c r="H152" s="12"/>
      <c r="I152" s="3"/>
      <c r="J152" s="12"/>
      <c r="M152" s="12"/>
      <c r="V152" s="49"/>
      <c r="W152" s="12"/>
      <c r="X152" s="12"/>
      <c r="Y152" s="12"/>
      <c r="Z152" s="12"/>
      <c r="AA152" s="12"/>
      <c r="AB152" s="12"/>
      <c r="AC152" s="12"/>
    </row>
    <row r="153" spans="1:29" x14ac:dyDescent="0.25">
      <c r="A153" s="3"/>
      <c r="B153" s="49"/>
      <c r="H153" s="12"/>
      <c r="I153" s="3"/>
      <c r="J153" s="12"/>
      <c r="M153" s="12"/>
      <c r="V153" s="49"/>
      <c r="W153" s="12"/>
      <c r="X153" s="12"/>
      <c r="Y153" s="12"/>
      <c r="Z153" s="12"/>
      <c r="AA153" s="12"/>
      <c r="AB153" s="12"/>
      <c r="AC153" s="12"/>
    </row>
    <row r="154" spans="1:29" x14ac:dyDescent="0.25">
      <c r="A154" s="3"/>
      <c r="B154" s="49"/>
      <c r="H154" s="12"/>
      <c r="I154" s="3"/>
      <c r="J154" s="12"/>
      <c r="M154" s="12"/>
      <c r="V154" s="49"/>
      <c r="W154" s="12"/>
      <c r="X154" s="12"/>
      <c r="Y154" s="12"/>
      <c r="Z154" s="12"/>
      <c r="AA154" s="12"/>
      <c r="AB154" s="12"/>
      <c r="AC154" s="12"/>
    </row>
    <row r="155" spans="1:29" x14ac:dyDescent="0.25">
      <c r="A155" s="3"/>
      <c r="B155" s="49"/>
      <c r="H155" s="12"/>
      <c r="I155" s="3"/>
      <c r="J155" s="12"/>
      <c r="M155" s="12"/>
      <c r="V155" s="49"/>
      <c r="W155" s="12"/>
      <c r="X155" s="12"/>
      <c r="Y155" s="12"/>
      <c r="Z155" s="12"/>
      <c r="AA155" s="12"/>
      <c r="AB155" s="12"/>
      <c r="AC155" s="12"/>
    </row>
    <row r="156" spans="1:29" x14ac:dyDescent="0.25">
      <c r="A156" s="3"/>
      <c r="B156" s="49"/>
      <c r="H156" s="12"/>
      <c r="I156" s="3"/>
      <c r="J156" s="12"/>
      <c r="M156" s="12"/>
      <c r="V156" s="49"/>
      <c r="W156" s="12"/>
      <c r="X156" s="12"/>
      <c r="Y156" s="12"/>
      <c r="Z156" s="12"/>
      <c r="AA156" s="12"/>
      <c r="AB156" s="12"/>
      <c r="AC156" s="12"/>
    </row>
    <row r="157" spans="1:29" x14ac:dyDescent="0.25">
      <c r="A157" s="3"/>
      <c r="B157" s="49"/>
      <c r="H157" s="12"/>
      <c r="I157" s="3"/>
      <c r="J157" s="12"/>
      <c r="M157" s="12"/>
      <c r="V157" s="49"/>
      <c r="W157" s="12"/>
      <c r="X157" s="12"/>
      <c r="Y157" s="12"/>
      <c r="Z157" s="12"/>
      <c r="AA157" s="12"/>
      <c r="AB157" s="12"/>
      <c r="AC157" s="12"/>
    </row>
    <row r="158" spans="1:29" x14ac:dyDescent="0.25">
      <c r="A158" s="3"/>
      <c r="B158" s="49"/>
      <c r="H158" s="12"/>
      <c r="I158" s="3"/>
      <c r="J158" s="12"/>
      <c r="M158" s="12"/>
      <c r="V158" s="49"/>
      <c r="W158" s="12"/>
      <c r="X158" s="12"/>
      <c r="Y158" s="12"/>
      <c r="Z158" s="12"/>
      <c r="AA158" s="12"/>
      <c r="AB158" s="12"/>
      <c r="AC158" s="12"/>
    </row>
    <row r="159" spans="1:29" x14ac:dyDescent="0.25">
      <c r="A159" s="3"/>
      <c r="B159" s="49"/>
      <c r="H159" s="12"/>
      <c r="I159" s="3"/>
      <c r="J159" s="12"/>
      <c r="M159" s="12"/>
      <c r="V159" s="49"/>
      <c r="W159" s="12"/>
      <c r="X159" s="12"/>
      <c r="Y159" s="12"/>
      <c r="Z159" s="12"/>
      <c r="AA159" s="12"/>
      <c r="AB159" s="12"/>
      <c r="AC159" s="12"/>
    </row>
    <row r="160" spans="1:29" x14ac:dyDescent="0.25">
      <c r="A160" s="3"/>
      <c r="B160" s="49"/>
      <c r="H160" s="12"/>
      <c r="I160" s="3"/>
      <c r="J160" s="12"/>
      <c r="M160" s="12"/>
      <c r="V160" s="49"/>
      <c r="W160" s="12"/>
      <c r="X160" s="12"/>
      <c r="Y160" s="12"/>
      <c r="Z160" s="12"/>
      <c r="AA160" s="12"/>
      <c r="AB160" s="12"/>
      <c r="AC160" s="12"/>
    </row>
    <row r="161" spans="1:29" x14ac:dyDescent="0.25">
      <c r="A161" s="3"/>
      <c r="B161" s="49"/>
      <c r="H161" s="12"/>
      <c r="I161" s="3"/>
      <c r="J161" s="12"/>
      <c r="M161" s="12"/>
      <c r="V161" s="49"/>
      <c r="W161" s="12"/>
      <c r="X161" s="12"/>
      <c r="Y161" s="12"/>
      <c r="Z161" s="12"/>
      <c r="AA161" s="12"/>
      <c r="AB161" s="12"/>
      <c r="AC161" s="12"/>
    </row>
    <row r="162" spans="1:29" x14ac:dyDescent="0.25">
      <c r="A162" s="3"/>
      <c r="B162" s="49"/>
      <c r="H162" s="12"/>
      <c r="I162" s="3"/>
      <c r="J162" s="12"/>
      <c r="M162" s="12"/>
      <c r="V162" s="49"/>
      <c r="W162" s="12"/>
      <c r="X162" s="12"/>
      <c r="Y162" s="12"/>
      <c r="Z162" s="12"/>
      <c r="AA162" s="12"/>
      <c r="AB162" s="12"/>
      <c r="AC162" s="12"/>
    </row>
    <row r="163" spans="1:29" x14ac:dyDescent="0.25">
      <c r="A163" s="3"/>
      <c r="B163" s="49"/>
      <c r="H163" s="12"/>
      <c r="I163" s="3"/>
      <c r="J163" s="12"/>
      <c r="M163" s="12"/>
      <c r="V163" s="49"/>
      <c r="W163" s="12"/>
      <c r="X163" s="12"/>
      <c r="Y163" s="12"/>
      <c r="Z163" s="12"/>
      <c r="AA163" s="12"/>
      <c r="AB163" s="12"/>
      <c r="AC163" s="12"/>
    </row>
    <row r="164" spans="1:29" x14ac:dyDescent="0.25">
      <c r="A164" s="3"/>
      <c r="B164" s="49"/>
      <c r="H164" s="12"/>
      <c r="I164" s="3"/>
      <c r="J164" s="12"/>
      <c r="M164" s="12"/>
      <c r="V164" s="49"/>
      <c r="W164" s="12"/>
      <c r="X164" s="12"/>
      <c r="Y164" s="12"/>
      <c r="Z164" s="12"/>
      <c r="AA164" s="12"/>
      <c r="AB164" s="12"/>
      <c r="AC164" s="12"/>
    </row>
    <row r="165" spans="1:29" x14ac:dyDescent="0.25">
      <c r="A165" s="3"/>
      <c r="B165" s="49"/>
      <c r="H165" s="12"/>
      <c r="I165" s="3"/>
      <c r="J165" s="12"/>
      <c r="M165" s="12"/>
      <c r="V165" s="49"/>
      <c r="W165" s="12"/>
      <c r="X165" s="12"/>
      <c r="Y165" s="12"/>
      <c r="Z165" s="12"/>
      <c r="AA165" s="12"/>
      <c r="AB165" s="12"/>
      <c r="AC165" s="12"/>
    </row>
    <row r="166" spans="1:29" x14ac:dyDescent="0.25">
      <c r="A166" s="3"/>
      <c r="B166" s="49"/>
      <c r="H166" s="12"/>
      <c r="I166" s="3"/>
      <c r="J166" s="12"/>
      <c r="M166" s="12"/>
      <c r="V166" s="49"/>
      <c r="W166" s="12"/>
      <c r="X166" s="12"/>
      <c r="Y166" s="12"/>
      <c r="Z166" s="12"/>
      <c r="AA166" s="12"/>
      <c r="AB166" s="12"/>
      <c r="AC166" s="12"/>
    </row>
    <row r="167" spans="1:29" x14ac:dyDescent="0.25">
      <c r="A167" s="3"/>
      <c r="B167" s="49"/>
      <c r="H167" s="12"/>
      <c r="I167" s="3"/>
      <c r="J167" s="12"/>
      <c r="M167" s="12"/>
      <c r="V167" s="49"/>
      <c r="W167" s="12"/>
      <c r="X167" s="12"/>
      <c r="Y167" s="12"/>
      <c r="Z167" s="12"/>
      <c r="AA167" s="12"/>
      <c r="AB167" s="12"/>
      <c r="AC167" s="12"/>
    </row>
    <row r="168" spans="1:29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  <c r="V168" s="49"/>
      <c r="W168" s="12"/>
      <c r="X168" s="12"/>
      <c r="Y168" s="12"/>
      <c r="Z168" s="12"/>
      <c r="AA168" s="12"/>
      <c r="AB168" s="12"/>
      <c r="AC168" s="12"/>
    </row>
    <row r="169" spans="1:29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  <c r="V169" s="49"/>
      <c r="W169" s="12"/>
      <c r="X169" s="12"/>
      <c r="Y169" s="12"/>
      <c r="Z169" s="12"/>
      <c r="AA169" s="12"/>
      <c r="AB169" s="12"/>
      <c r="AC169" s="12"/>
    </row>
    <row r="170" spans="1:29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  <c r="V170" s="49"/>
      <c r="W170" s="12"/>
      <c r="X170" s="12"/>
      <c r="Y170" s="12"/>
      <c r="Z170" s="12"/>
      <c r="AA170" s="12"/>
      <c r="AB170" s="12"/>
      <c r="AC170" s="12"/>
    </row>
    <row r="171" spans="1:29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  <c r="V171" s="49"/>
      <c r="W171" s="12"/>
      <c r="X171" s="12"/>
      <c r="Y171" s="12"/>
      <c r="Z171" s="12"/>
      <c r="AA171" s="12"/>
      <c r="AB171" s="12"/>
      <c r="AC171" s="12"/>
    </row>
    <row r="172" spans="1:29" x14ac:dyDescent="0.25">
      <c r="A172" s="3"/>
      <c r="B172" s="49"/>
      <c r="D172" s="12"/>
      <c r="E172" s="12"/>
      <c r="F172" s="12"/>
      <c r="G172" s="12"/>
      <c r="H172" s="12"/>
      <c r="I172" s="3"/>
      <c r="J172" s="12"/>
      <c r="M172" s="12"/>
      <c r="V172" s="49"/>
      <c r="W172" s="12"/>
      <c r="X172" s="12"/>
      <c r="Y172" s="12"/>
      <c r="Z172" s="12"/>
      <c r="AA172" s="12"/>
      <c r="AB172" s="12"/>
      <c r="AC172" s="12"/>
    </row>
    <row r="173" spans="1:29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  <c r="V173" s="49"/>
      <c r="W173" s="12"/>
      <c r="X173" s="12"/>
      <c r="Y173" s="12"/>
      <c r="Z173" s="12"/>
      <c r="AA173" s="12"/>
      <c r="AB173" s="12"/>
      <c r="AC173" s="12"/>
    </row>
    <row r="174" spans="1:29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  <c r="V174" s="49"/>
      <c r="W174" s="12"/>
      <c r="X174" s="12"/>
      <c r="Y174" s="12"/>
      <c r="Z174" s="12"/>
      <c r="AA174" s="12"/>
      <c r="AB174" s="12"/>
      <c r="AC174" s="12"/>
    </row>
    <row r="175" spans="1:29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  <c r="V175" s="49"/>
      <c r="W175" s="12"/>
      <c r="X175" s="12"/>
      <c r="Y175" s="12"/>
      <c r="Z175" s="12"/>
      <c r="AA175" s="12"/>
      <c r="AB175" s="12"/>
      <c r="AC175" s="12"/>
    </row>
    <row r="176" spans="1:29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  <c r="V176" s="49"/>
      <c r="W176" s="12"/>
      <c r="X176" s="12"/>
      <c r="Y176" s="12"/>
      <c r="Z176" s="12"/>
      <c r="AA176" s="12"/>
      <c r="AB176" s="12"/>
      <c r="AC176" s="12"/>
    </row>
    <row r="177" spans="1:29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  <c r="V177" s="49"/>
      <c r="W177" s="12"/>
      <c r="X177" s="12"/>
      <c r="Y177" s="12"/>
      <c r="Z177" s="12"/>
      <c r="AA177" s="12"/>
      <c r="AB177" s="12"/>
      <c r="AC177" s="12"/>
    </row>
    <row r="178" spans="1:29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  <c r="V178" s="49"/>
      <c r="W178" s="12"/>
      <c r="X178" s="12"/>
      <c r="Y178" s="12"/>
      <c r="Z178" s="12"/>
      <c r="AA178" s="12"/>
      <c r="AB178" s="12"/>
      <c r="AC178" s="12"/>
    </row>
    <row r="179" spans="1:29" x14ac:dyDescent="0.25">
      <c r="D179" s="12"/>
      <c r="E179" s="12"/>
      <c r="F179" s="12"/>
      <c r="G179" s="12"/>
      <c r="H179" s="12"/>
      <c r="I179" s="3"/>
      <c r="J179" s="12"/>
      <c r="M179" s="12"/>
      <c r="W179" s="12"/>
      <c r="X179" s="12"/>
      <c r="Y179" s="12"/>
      <c r="Z179" s="12"/>
      <c r="AA179" s="12"/>
      <c r="AB179" s="12"/>
      <c r="AC179" s="12"/>
    </row>
    <row r="180" spans="1:29" x14ac:dyDescent="0.25">
      <c r="A180" s="3"/>
      <c r="B180" s="49"/>
      <c r="D180" s="12"/>
      <c r="E180" s="12"/>
      <c r="F180" s="12"/>
      <c r="G180" s="12"/>
      <c r="H180" s="12"/>
      <c r="I180" s="3"/>
      <c r="J180" s="12"/>
      <c r="M180" s="12"/>
      <c r="V180" s="49"/>
      <c r="W180" s="12"/>
      <c r="X180" s="12"/>
      <c r="Y180" s="12"/>
      <c r="Z180" s="12"/>
      <c r="AA180" s="12"/>
      <c r="AB180" s="12"/>
      <c r="AC180" s="12"/>
    </row>
    <row r="181" spans="1:29" x14ac:dyDescent="0.25">
      <c r="A181" s="3"/>
      <c r="B181" s="49"/>
      <c r="D181" s="12"/>
      <c r="E181" s="12"/>
      <c r="F181" s="12"/>
      <c r="G181" s="12"/>
      <c r="H181" s="12"/>
      <c r="I181" s="3"/>
      <c r="J181" s="12"/>
      <c r="M181" s="12"/>
      <c r="V181" s="49"/>
      <c r="W181" s="12"/>
      <c r="X181" s="12"/>
      <c r="Y181" s="12"/>
      <c r="Z181" s="12"/>
      <c r="AA181" s="12"/>
      <c r="AB181" s="12"/>
      <c r="AC181" s="12"/>
    </row>
    <row r="182" spans="1:29" x14ac:dyDescent="0.25">
      <c r="A182" s="3"/>
      <c r="B182" s="49"/>
      <c r="D182" s="12"/>
      <c r="E182" s="12"/>
      <c r="F182" s="12"/>
      <c r="G182" s="12"/>
      <c r="H182" s="12"/>
      <c r="I182" s="3"/>
      <c r="J182" s="12"/>
      <c r="M182" s="12"/>
      <c r="V182" s="49"/>
      <c r="W182" s="12"/>
      <c r="X182" s="12"/>
      <c r="Y182" s="12"/>
      <c r="Z182" s="12"/>
      <c r="AA182" s="12"/>
      <c r="AB182" s="12"/>
      <c r="AC182" s="12"/>
    </row>
    <row r="183" spans="1:29" x14ac:dyDescent="0.25">
      <c r="A183" s="3"/>
      <c r="B183" s="49"/>
      <c r="D183" s="12"/>
      <c r="E183" s="12"/>
      <c r="F183" s="12"/>
      <c r="G183" s="12"/>
      <c r="H183" s="12"/>
      <c r="I183" s="3"/>
      <c r="J183" s="12"/>
      <c r="M183" s="12"/>
      <c r="V183" s="49"/>
      <c r="W183" s="12"/>
      <c r="X183" s="12"/>
      <c r="Y183" s="12"/>
      <c r="Z183" s="12"/>
      <c r="AA183" s="12"/>
      <c r="AB183" s="12"/>
      <c r="AC183" s="12"/>
    </row>
    <row r="184" spans="1:29" x14ac:dyDescent="0.25">
      <c r="A184" s="3"/>
      <c r="B184" s="49"/>
      <c r="D184" s="12"/>
      <c r="E184" s="12"/>
      <c r="F184" s="12"/>
      <c r="G184" s="12"/>
      <c r="H184" s="12"/>
      <c r="I184" s="3"/>
      <c r="J184" s="12"/>
      <c r="M184" s="12"/>
      <c r="V184" s="49"/>
      <c r="W184" s="12"/>
      <c r="X184" s="12"/>
      <c r="Y184" s="12"/>
      <c r="Z184" s="12"/>
      <c r="AA184" s="12"/>
      <c r="AB184" s="12"/>
      <c r="AC184" s="12"/>
    </row>
    <row r="185" spans="1:29" x14ac:dyDescent="0.25">
      <c r="A185" s="3"/>
      <c r="B185" s="49"/>
      <c r="D185" s="12"/>
      <c r="E185" s="12"/>
      <c r="F185" s="12"/>
      <c r="G185" s="12"/>
      <c r="H185" s="12"/>
      <c r="I185" s="3"/>
      <c r="J185" s="12"/>
      <c r="M185" s="12"/>
      <c r="V185" s="49"/>
      <c r="W185" s="12"/>
      <c r="X185" s="12"/>
      <c r="Y185" s="12"/>
      <c r="Z185" s="12"/>
      <c r="AA185" s="12"/>
      <c r="AB185" s="12"/>
      <c r="AC185" s="12"/>
    </row>
    <row r="186" spans="1:29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  <c r="V186" s="49"/>
      <c r="W186" s="12"/>
      <c r="X186" s="12"/>
      <c r="Y186" s="12"/>
      <c r="Z186" s="12"/>
      <c r="AA186" s="12"/>
      <c r="AB186" s="12"/>
      <c r="AC186" s="12"/>
    </row>
    <row r="187" spans="1:29" x14ac:dyDescent="0.25">
      <c r="W187" s="12"/>
      <c r="X187" s="12"/>
      <c r="Y187" s="12"/>
      <c r="Z187" s="12"/>
      <c r="AA187" s="12"/>
      <c r="AB187" s="12"/>
      <c r="AC187" s="12"/>
    </row>
    <row r="188" spans="1:29" x14ac:dyDescent="0.25">
      <c r="W188" s="12"/>
      <c r="X188" s="12"/>
      <c r="Y188" s="12"/>
      <c r="Z188" s="12"/>
      <c r="AA188" s="12"/>
      <c r="AB188" s="12"/>
      <c r="AC188" s="12"/>
    </row>
    <row r="189" spans="1:29" x14ac:dyDescent="0.25">
      <c r="W189" s="12"/>
      <c r="X189" s="12"/>
      <c r="Y189" s="12"/>
      <c r="Z189" s="12"/>
      <c r="AA189" s="12"/>
      <c r="AB189" s="12"/>
      <c r="AC189" s="12"/>
    </row>
    <row r="190" spans="1:29" x14ac:dyDescent="0.25">
      <c r="W190" s="12"/>
      <c r="X190" s="12"/>
      <c r="Y190" s="12"/>
      <c r="Z190" s="12"/>
      <c r="AA190" s="12"/>
      <c r="AB190" s="12"/>
      <c r="AC190" s="12"/>
    </row>
    <row r="191" spans="1:29" x14ac:dyDescent="0.25">
      <c r="W191" s="12"/>
      <c r="X191" s="12"/>
      <c r="Y191" s="12"/>
      <c r="Z191" s="12"/>
      <c r="AA191" s="12"/>
      <c r="AB191" s="12"/>
      <c r="AC191" s="12"/>
    </row>
    <row r="192" spans="1:29" x14ac:dyDescent="0.25">
      <c r="W192" s="12"/>
      <c r="X192" s="12"/>
      <c r="Y192" s="12"/>
      <c r="Z192" s="12"/>
      <c r="AA192" s="12"/>
      <c r="AB192" s="12"/>
      <c r="AC192" s="12"/>
    </row>
    <row r="193" spans="1:29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  <c r="V193" s="49"/>
      <c r="W193" s="12"/>
      <c r="X193" s="12"/>
      <c r="Y193" s="12"/>
      <c r="Z193" s="12"/>
      <c r="AA193" s="12"/>
      <c r="AB193" s="12"/>
      <c r="AC193" s="12"/>
    </row>
    <row r="194" spans="1:29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  <c r="V194" s="49"/>
      <c r="W194" s="12"/>
      <c r="X194" s="12"/>
      <c r="Y194" s="12"/>
      <c r="Z194" s="12"/>
      <c r="AA194" s="12"/>
      <c r="AB194" s="12"/>
      <c r="AC194" s="12"/>
    </row>
    <row r="195" spans="1:29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  <c r="V195" s="49"/>
      <c r="W195" s="12"/>
      <c r="X195" s="12"/>
      <c r="Y195" s="12"/>
      <c r="Z195" s="12"/>
      <c r="AA195" s="12"/>
      <c r="AB195" s="12"/>
      <c r="AC195" s="12"/>
    </row>
    <row r="196" spans="1:29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  <c r="V196" s="49"/>
      <c r="W196" s="12"/>
      <c r="X196" s="12"/>
      <c r="Y196" s="12"/>
      <c r="Z196" s="12"/>
      <c r="AA196" s="12"/>
      <c r="AB196" s="12"/>
      <c r="AC196" s="12"/>
    </row>
    <row r="197" spans="1:29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  <c r="V197" s="49"/>
      <c r="W197" s="12"/>
      <c r="X197" s="12"/>
      <c r="Y197" s="12"/>
      <c r="Z197" s="12"/>
      <c r="AA197" s="12"/>
      <c r="AB197" s="12"/>
      <c r="AC197" s="12"/>
    </row>
    <row r="198" spans="1:29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  <c r="V198" s="49"/>
      <c r="W198" s="12"/>
      <c r="X198" s="12"/>
      <c r="Y198" s="12"/>
      <c r="Z198" s="12"/>
      <c r="AA198" s="12"/>
      <c r="AB198" s="12"/>
      <c r="AC198" s="12"/>
    </row>
    <row r="199" spans="1:29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  <c r="V199" s="49"/>
      <c r="W199" s="12"/>
      <c r="X199" s="12"/>
      <c r="Y199" s="12"/>
      <c r="Z199" s="12"/>
      <c r="AA199" s="12"/>
      <c r="AB199" s="12"/>
      <c r="AC199" s="12"/>
    </row>
    <row r="200" spans="1:29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  <c r="V200" s="49"/>
      <c r="W200" s="12"/>
      <c r="X200" s="12"/>
      <c r="Y200" s="12"/>
      <c r="Z200" s="12"/>
      <c r="AA200" s="12"/>
      <c r="AB200" s="12"/>
      <c r="AC200" s="12"/>
    </row>
    <row r="201" spans="1:29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  <c r="V201" s="49"/>
      <c r="W201" s="12"/>
      <c r="X201" s="12"/>
      <c r="Y201" s="12"/>
      <c r="Z201" s="12"/>
      <c r="AA201" s="12"/>
      <c r="AB201" s="12"/>
      <c r="AC201" s="12"/>
    </row>
    <row r="202" spans="1:29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  <c r="V202" s="49"/>
      <c r="W202" s="12"/>
      <c r="X202" s="12"/>
      <c r="Y202" s="12"/>
      <c r="Z202" s="12"/>
      <c r="AA202" s="12"/>
      <c r="AB202" s="12"/>
      <c r="AC202" s="12"/>
    </row>
    <row r="203" spans="1:29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  <c r="V203" s="49"/>
      <c r="W203" s="12"/>
      <c r="X203" s="12"/>
      <c r="Y203" s="12"/>
      <c r="Z203" s="12"/>
      <c r="AA203" s="12"/>
      <c r="AB203" s="12"/>
      <c r="AC203" s="12"/>
    </row>
    <row r="204" spans="1:29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  <c r="V204" s="49"/>
      <c r="W204" s="12"/>
      <c r="X204" s="12"/>
      <c r="Y204" s="12"/>
      <c r="Z204" s="12"/>
      <c r="AA204" s="12"/>
      <c r="AB204" s="12"/>
      <c r="AC204" s="12"/>
    </row>
    <row r="205" spans="1:29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  <c r="V205" s="49"/>
      <c r="W205" s="12"/>
      <c r="X205" s="12"/>
      <c r="Y205" s="12"/>
      <c r="Z205" s="12"/>
      <c r="AA205" s="12"/>
      <c r="AB205" s="12"/>
      <c r="AC205" s="12"/>
    </row>
    <row r="206" spans="1:29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  <c r="V206" s="49"/>
      <c r="W206" s="12"/>
      <c r="X206" s="12"/>
      <c r="Y206" s="12"/>
      <c r="Z206" s="12"/>
      <c r="AA206" s="12"/>
      <c r="AB206" s="12"/>
      <c r="AC206" s="12"/>
    </row>
    <row r="207" spans="1:29" x14ac:dyDescent="0.25">
      <c r="A207" s="3"/>
      <c r="B207" s="49"/>
      <c r="D207" s="12"/>
      <c r="E207" s="12"/>
      <c r="F207" s="12"/>
      <c r="G207" s="12"/>
      <c r="H207" s="12"/>
      <c r="I207" s="3"/>
      <c r="J207" s="12"/>
      <c r="M207" s="12"/>
      <c r="V207" s="49"/>
      <c r="W207" s="12"/>
      <c r="X207" s="12"/>
      <c r="Y207" s="12"/>
      <c r="Z207" s="12"/>
      <c r="AA207" s="12"/>
      <c r="AB207" s="12"/>
      <c r="AC207" s="12"/>
    </row>
    <row r="208" spans="1:29" x14ac:dyDescent="0.25">
      <c r="A208" s="3"/>
      <c r="B208" s="49"/>
      <c r="D208" s="12"/>
      <c r="E208" s="12"/>
      <c r="F208" s="12"/>
      <c r="G208" s="12"/>
      <c r="H208" s="12"/>
      <c r="I208" s="3"/>
      <c r="J208" s="12"/>
      <c r="M208" s="12"/>
      <c r="V208" s="49"/>
      <c r="W208" s="12"/>
      <c r="X208" s="12"/>
      <c r="Y208" s="12"/>
      <c r="Z208" s="12"/>
      <c r="AA208" s="12"/>
      <c r="AB208" s="12"/>
      <c r="AC208" s="12"/>
    </row>
    <row r="209" spans="1:29" x14ac:dyDescent="0.25">
      <c r="A209" s="3"/>
      <c r="B209" s="49"/>
      <c r="D209" s="12"/>
      <c r="E209" s="12"/>
      <c r="F209" s="12"/>
      <c r="G209" s="12"/>
      <c r="H209" s="12"/>
      <c r="I209" s="3"/>
      <c r="J209" s="12"/>
      <c r="M209" s="12"/>
      <c r="V209" s="49"/>
      <c r="W209" s="12"/>
      <c r="X209" s="12"/>
      <c r="Y209" s="12"/>
      <c r="Z209" s="12"/>
      <c r="AA209" s="12"/>
      <c r="AB209" s="12"/>
      <c r="AC209" s="12"/>
    </row>
    <row r="210" spans="1:29" x14ac:dyDescent="0.25">
      <c r="A210" s="3"/>
      <c r="B210" s="49"/>
      <c r="D210" s="12"/>
      <c r="E210" s="12"/>
      <c r="F210" s="12"/>
      <c r="G210" s="12"/>
      <c r="H210" s="12"/>
      <c r="I210" s="3"/>
      <c r="J210" s="12"/>
      <c r="M210" s="12"/>
      <c r="V210" s="49"/>
      <c r="W210" s="12"/>
      <c r="X210" s="12"/>
      <c r="Y210" s="12"/>
      <c r="Z210" s="12"/>
      <c r="AA210" s="12"/>
      <c r="AB210" s="12"/>
      <c r="AC210" s="12"/>
    </row>
    <row r="211" spans="1:29" x14ac:dyDescent="0.25">
      <c r="A211" s="3"/>
      <c r="B211" s="49"/>
      <c r="D211" s="12"/>
      <c r="E211" s="12"/>
      <c r="F211" s="12"/>
      <c r="G211" s="12"/>
      <c r="H211" s="12"/>
      <c r="I211" s="3"/>
      <c r="J211" s="12"/>
      <c r="M211" s="12"/>
      <c r="V211" s="49"/>
      <c r="W211" s="12"/>
      <c r="X211" s="12"/>
      <c r="Y211" s="12"/>
      <c r="Z211" s="12"/>
      <c r="AA211" s="12"/>
      <c r="AB211" s="12"/>
      <c r="AC211" s="12"/>
    </row>
    <row r="212" spans="1:29" x14ac:dyDescent="0.25">
      <c r="A212" s="3"/>
      <c r="B212" s="49"/>
      <c r="D212" s="12"/>
      <c r="E212" s="12"/>
      <c r="F212" s="12"/>
      <c r="G212" s="12"/>
      <c r="H212" s="12"/>
      <c r="I212" s="3"/>
      <c r="J212" s="12"/>
      <c r="M212" s="12"/>
      <c r="V212" s="49"/>
      <c r="W212" s="12"/>
      <c r="X212" s="12"/>
      <c r="Y212" s="12"/>
      <c r="Z212" s="12"/>
      <c r="AA212" s="12"/>
      <c r="AB212" s="12"/>
      <c r="AC212" s="12"/>
    </row>
    <row r="213" spans="1:29" x14ac:dyDescent="0.25">
      <c r="A213" s="3"/>
      <c r="B213" s="49"/>
      <c r="D213" s="12"/>
      <c r="E213" s="12"/>
      <c r="F213" s="12"/>
      <c r="G213" s="12"/>
      <c r="H213" s="12"/>
      <c r="I213" s="3"/>
      <c r="J213" s="12"/>
      <c r="M213" s="12"/>
      <c r="V213" s="49"/>
      <c r="W213" s="12"/>
      <c r="X213" s="12"/>
      <c r="Y213" s="12"/>
      <c r="Z213" s="12"/>
      <c r="AA213" s="12"/>
      <c r="AB213" s="12"/>
      <c r="AC213" s="12"/>
    </row>
    <row r="214" spans="1:29" x14ac:dyDescent="0.25">
      <c r="A214" s="3"/>
      <c r="B214" s="49"/>
      <c r="D214" s="12"/>
      <c r="E214" s="12"/>
      <c r="F214" s="12"/>
      <c r="G214" s="12"/>
      <c r="H214" s="12"/>
      <c r="I214" s="3"/>
      <c r="J214" s="12"/>
      <c r="M214" s="12"/>
      <c r="V214" s="49"/>
      <c r="W214" s="12"/>
      <c r="X214" s="12"/>
      <c r="Y214" s="12"/>
      <c r="Z214" s="12"/>
      <c r="AA214" s="12"/>
      <c r="AB214" s="12"/>
      <c r="AC214" s="12"/>
    </row>
    <row r="215" spans="1:29" x14ac:dyDescent="0.25">
      <c r="A215" s="3"/>
      <c r="B215" s="49"/>
      <c r="D215" s="12"/>
      <c r="E215" s="12"/>
      <c r="F215" s="12"/>
      <c r="G215" s="12"/>
      <c r="H215" s="12"/>
      <c r="I215" s="3"/>
      <c r="J215" s="12"/>
      <c r="M215" s="12"/>
      <c r="V215" s="49"/>
      <c r="W215" s="12"/>
      <c r="X215" s="12"/>
      <c r="Y215" s="12"/>
      <c r="Z215" s="12"/>
      <c r="AA215" s="12"/>
      <c r="AB215" s="12"/>
      <c r="AC215" s="12"/>
    </row>
    <row r="216" spans="1:29" x14ac:dyDescent="0.25">
      <c r="A216" s="3"/>
      <c r="B216" s="49"/>
      <c r="D216" s="12"/>
      <c r="E216" s="12"/>
      <c r="F216" s="12"/>
      <c r="G216" s="12"/>
      <c r="H216" s="12"/>
      <c r="I216" s="3"/>
      <c r="J216" s="12"/>
      <c r="M216" s="12"/>
      <c r="V216" s="49"/>
      <c r="W216" s="12"/>
      <c r="X216" s="12"/>
      <c r="Y216" s="12"/>
      <c r="Z216" s="12"/>
      <c r="AA216" s="12"/>
      <c r="AB216" s="12"/>
      <c r="AC216" s="12"/>
    </row>
    <row r="217" spans="1:29" x14ac:dyDescent="0.25">
      <c r="A217" s="3"/>
      <c r="B217" s="49"/>
      <c r="D217" s="12"/>
      <c r="E217" s="12"/>
      <c r="F217" s="12"/>
      <c r="G217" s="12"/>
      <c r="H217" s="12"/>
      <c r="I217" s="3"/>
      <c r="J217" s="12"/>
      <c r="M217" s="12"/>
      <c r="V217" s="49"/>
      <c r="W217" s="12"/>
      <c r="X217" s="12"/>
      <c r="Y217" s="12"/>
      <c r="Z217" s="12"/>
      <c r="AA217" s="12"/>
      <c r="AB217" s="12"/>
      <c r="AC217" s="12"/>
    </row>
    <row r="218" spans="1:29" x14ac:dyDescent="0.25">
      <c r="A218" s="3"/>
      <c r="B218" s="49"/>
      <c r="D218" s="12"/>
      <c r="E218" s="12"/>
      <c r="F218" s="12"/>
      <c r="G218" s="12"/>
      <c r="H218" s="12"/>
      <c r="I218" s="3"/>
      <c r="J218" s="12"/>
      <c r="M218" s="12"/>
      <c r="V218" s="49"/>
      <c r="W218" s="12"/>
      <c r="X218" s="12"/>
      <c r="Y218" s="12"/>
      <c r="Z218" s="12"/>
      <c r="AA218" s="12"/>
      <c r="AB218" s="12"/>
      <c r="AC218" s="12"/>
    </row>
    <row r="219" spans="1:29" x14ac:dyDescent="0.25">
      <c r="A219" s="3"/>
      <c r="B219" s="49"/>
      <c r="D219" s="12"/>
      <c r="E219" s="12"/>
      <c r="F219" s="12"/>
      <c r="G219" s="12"/>
      <c r="H219" s="12"/>
      <c r="I219" s="3"/>
      <c r="J219" s="12"/>
      <c r="M219" s="12"/>
      <c r="V219" s="49"/>
      <c r="W219" s="12"/>
      <c r="X219" s="12"/>
      <c r="Y219" s="12"/>
      <c r="Z219" s="12"/>
      <c r="AA219" s="12"/>
      <c r="AB219" s="12"/>
      <c r="AC219" s="12"/>
    </row>
    <row r="220" spans="1:29" x14ac:dyDescent="0.25">
      <c r="A220" s="3"/>
      <c r="B220" s="49"/>
      <c r="D220" s="12"/>
      <c r="E220" s="12"/>
      <c r="F220" s="12"/>
      <c r="G220" s="12"/>
      <c r="H220" s="12"/>
      <c r="I220" s="3"/>
      <c r="J220" s="12"/>
      <c r="M220" s="12"/>
      <c r="V220" s="49"/>
      <c r="W220" s="12"/>
      <c r="X220" s="12"/>
      <c r="Y220" s="12"/>
      <c r="Z220" s="12"/>
      <c r="AA220" s="12"/>
      <c r="AB220" s="12"/>
      <c r="AC220" s="12"/>
    </row>
    <row r="221" spans="1:29" x14ac:dyDescent="0.25">
      <c r="A221" s="3"/>
      <c r="B221" s="49"/>
      <c r="D221" s="12"/>
      <c r="E221" s="12"/>
      <c r="F221" s="12"/>
      <c r="G221" s="12"/>
      <c r="H221" s="12"/>
      <c r="I221" s="3"/>
      <c r="J221" s="12"/>
      <c r="M221" s="12"/>
      <c r="V221" s="49"/>
      <c r="W221" s="12"/>
      <c r="X221" s="12"/>
      <c r="Y221" s="12"/>
      <c r="Z221" s="12"/>
      <c r="AA221" s="12"/>
      <c r="AB221" s="12"/>
      <c r="AC221" s="12"/>
    </row>
    <row r="222" spans="1:29" x14ac:dyDescent="0.25">
      <c r="A222" s="3"/>
      <c r="B222" s="49"/>
      <c r="D222" s="12"/>
      <c r="E222" s="12"/>
      <c r="F222" s="12"/>
      <c r="G222" s="12"/>
      <c r="H222" s="12"/>
      <c r="I222" s="3"/>
      <c r="J222" s="12"/>
      <c r="M222" s="12"/>
      <c r="V222" s="49"/>
      <c r="W222" s="12"/>
      <c r="X222" s="12"/>
      <c r="Y222" s="12"/>
      <c r="Z222" s="12"/>
      <c r="AA222" s="12"/>
      <c r="AB222" s="12"/>
      <c r="AC222" s="12"/>
    </row>
    <row r="223" spans="1:29" x14ac:dyDescent="0.25">
      <c r="A223" s="3"/>
      <c r="B223" s="49"/>
      <c r="D223" s="12"/>
      <c r="E223" s="12"/>
      <c r="F223" s="12"/>
      <c r="G223" s="12"/>
      <c r="H223" s="12"/>
      <c r="I223" s="3"/>
      <c r="J223" s="12"/>
      <c r="M223" s="12"/>
      <c r="V223" s="49"/>
      <c r="W223" s="12"/>
      <c r="X223" s="12"/>
      <c r="Y223" s="12"/>
      <c r="Z223" s="12"/>
      <c r="AA223" s="12"/>
      <c r="AB223" s="12"/>
      <c r="AC223" s="12"/>
    </row>
    <row r="224" spans="1:29" x14ac:dyDescent="0.25">
      <c r="A224" s="3"/>
      <c r="B224" s="49"/>
      <c r="D224" s="12"/>
      <c r="E224" s="12"/>
      <c r="F224" s="12"/>
      <c r="G224" s="12"/>
      <c r="H224" s="12"/>
      <c r="I224" s="3"/>
      <c r="J224" s="12"/>
      <c r="M224" s="12"/>
      <c r="V224" s="49"/>
      <c r="W224" s="12"/>
      <c r="X224" s="12"/>
      <c r="Y224" s="12"/>
      <c r="Z224" s="12"/>
      <c r="AA224" s="12"/>
      <c r="AB224" s="12"/>
      <c r="AC224" s="12"/>
    </row>
    <row r="225" spans="1:29" x14ac:dyDescent="0.25">
      <c r="A225" s="3"/>
      <c r="B225" s="49"/>
      <c r="D225" s="12"/>
      <c r="E225" s="12"/>
      <c r="F225" s="12"/>
      <c r="G225" s="12"/>
      <c r="H225" s="12"/>
      <c r="I225" s="3"/>
      <c r="J225" s="12"/>
      <c r="M225" s="12"/>
      <c r="V225" s="49"/>
      <c r="W225" s="12"/>
      <c r="X225" s="12"/>
      <c r="Y225" s="12"/>
      <c r="Z225" s="12"/>
      <c r="AA225" s="12"/>
      <c r="AB225" s="12"/>
      <c r="AC225" s="12"/>
    </row>
    <row r="226" spans="1:29" x14ac:dyDescent="0.25">
      <c r="A226" s="3"/>
      <c r="B226" s="49"/>
      <c r="D226" s="12"/>
      <c r="E226" s="12"/>
      <c r="F226" s="12"/>
      <c r="G226" s="12"/>
      <c r="H226" s="12"/>
      <c r="I226" s="3"/>
      <c r="J226" s="12"/>
      <c r="M226" s="12"/>
      <c r="V226" s="49"/>
      <c r="W226" s="12"/>
      <c r="X226" s="12"/>
      <c r="Y226" s="12"/>
      <c r="Z226" s="12"/>
      <c r="AA226" s="12"/>
      <c r="AB226" s="12"/>
      <c r="AC226" s="12"/>
    </row>
    <row r="227" spans="1:29" x14ac:dyDescent="0.25">
      <c r="A227" s="3"/>
      <c r="B227" s="49"/>
      <c r="D227" s="12"/>
      <c r="E227" s="12"/>
      <c r="F227" s="12"/>
      <c r="G227" s="12"/>
      <c r="H227" s="12"/>
      <c r="I227" s="3"/>
      <c r="J227" s="12"/>
      <c r="M227" s="12"/>
      <c r="V227" s="49"/>
      <c r="W227" s="12"/>
      <c r="X227" s="12"/>
      <c r="Y227" s="12"/>
      <c r="Z227" s="12"/>
      <c r="AA227" s="12"/>
      <c r="AB227" s="12"/>
      <c r="AC227" s="12"/>
    </row>
    <row r="228" spans="1:29" x14ac:dyDescent="0.25">
      <c r="A228" s="3"/>
      <c r="B228" s="49"/>
      <c r="D228" s="12"/>
      <c r="E228" s="12"/>
      <c r="F228" s="12"/>
      <c r="G228" s="12"/>
      <c r="H228" s="12"/>
      <c r="I228" s="3"/>
      <c r="J228" s="12"/>
      <c r="M228" s="12"/>
      <c r="V228" s="49"/>
      <c r="W228" s="12"/>
      <c r="X228" s="12"/>
      <c r="Y228" s="12"/>
      <c r="Z228" s="12"/>
      <c r="AA228" s="12"/>
      <c r="AB228" s="12"/>
      <c r="AC228" s="12"/>
    </row>
    <row r="229" spans="1:29" x14ac:dyDescent="0.25">
      <c r="A229" s="3"/>
      <c r="B229" s="49"/>
      <c r="D229" s="12"/>
      <c r="E229" s="12"/>
      <c r="F229" s="12"/>
      <c r="G229" s="12"/>
      <c r="H229" s="12"/>
      <c r="I229" s="3"/>
      <c r="J229" s="12"/>
      <c r="M229" s="12"/>
      <c r="V229" s="49"/>
      <c r="W229" s="12"/>
      <c r="X229" s="12"/>
      <c r="Y229" s="12"/>
      <c r="Z229" s="12"/>
      <c r="AA229" s="12"/>
      <c r="AB229" s="12"/>
      <c r="AC229" s="12"/>
    </row>
    <row r="230" spans="1:29" x14ac:dyDescent="0.25">
      <c r="A230" s="3"/>
      <c r="B230" s="49"/>
      <c r="D230" s="12"/>
      <c r="E230" s="12"/>
      <c r="F230" s="12"/>
      <c r="G230" s="12"/>
      <c r="H230" s="12"/>
      <c r="I230" s="3"/>
      <c r="J230" s="12"/>
      <c r="M230" s="12"/>
      <c r="V230" s="49"/>
      <c r="W230" s="12"/>
      <c r="X230" s="12"/>
      <c r="Y230" s="12"/>
      <c r="Z230" s="12"/>
      <c r="AA230" s="12"/>
      <c r="AB230" s="12"/>
      <c r="AC230" s="12"/>
    </row>
    <row r="231" spans="1:29" x14ac:dyDescent="0.25">
      <c r="A231" s="3"/>
      <c r="B231" s="49"/>
      <c r="D231" s="12"/>
      <c r="E231" s="12"/>
      <c r="F231" s="12"/>
      <c r="G231" s="12"/>
      <c r="H231" s="12"/>
      <c r="I231" s="3"/>
      <c r="J231" s="12"/>
      <c r="M231" s="12"/>
      <c r="V231" s="49"/>
      <c r="W231" s="12"/>
      <c r="X231" s="12"/>
      <c r="Y231" s="12"/>
      <c r="Z231" s="12"/>
      <c r="AA231" s="12"/>
      <c r="AB231" s="12"/>
      <c r="AC231" s="12"/>
    </row>
    <row r="232" spans="1:29" x14ac:dyDescent="0.25">
      <c r="A232" s="3"/>
      <c r="B232" s="49"/>
      <c r="D232" s="12"/>
      <c r="E232" s="12"/>
      <c r="F232" s="12"/>
      <c r="G232" s="12"/>
      <c r="H232" s="12"/>
      <c r="I232" s="3"/>
      <c r="J232" s="12"/>
      <c r="M232" s="12"/>
      <c r="V232" s="49"/>
      <c r="W232" s="12"/>
      <c r="X232" s="12"/>
      <c r="Y232" s="12"/>
      <c r="Z232" s="12"/>
      <c r="AA232" s="12"/>
      <c r="AB232" s="12"/>
      <c r="AC232" s="12"/>
    </row>
    <row r="233" spans="1:29" x14ac:dyDescent="0.25">
      <c r="A233" s="3"/>
      <c r="B233" s="49"/>
      <c r="D233" s="12"/>
      <c r="E233" s="12"/>
      <c r="F233" s="12"/>
      <c r="G233" s="12"/>
      <c r="H233" s="12"/>
      <c r="I233" s="3"/>
      <c r="J233" s="12"/>
      <c r="M233" s="12"/>
      <c r="V233" s="49"/>
      <c r="W233" s="12"/>
      <c r="X233" s="12"/>
      <c r="Y233" s="12"/>
      <c r="Z233" s="12"/>
      <c r="AA233" s="12"/>
      <c r="AB233" s="12"/>
      <c r="AC233" s="12"/>
    </row>
    <row r="234" spans="1:29" x14ac:dyDescent="0.25">
      <c r="A234" s="3"/>
      <c r="B234" s="49"/>
      <c r="D234" s="12"/>
      <c r="E234" s="12"/>
      <c r="F234" s="12"/>
      <c r="G234" s="12"/>
      <c r="H234" s="12"/>
      <c r="I234" s="3"/>
      <c r="J234" s="12"/>
      <c r="M234" s="12"/>
      <c r="V234" s="49"/>
      <c r="W234" s="12"/>
      <c r="X234" s="12"/>
      <c r="Y234" s="12"/>
      <c r="Z234" s="12"/>
      <c r="AA234" s="12"/>
      <c r="AB234" s="12"/>
      <c r="AC234" s="12"/>
    </row>
    <row r="235" spans="1:29" x14ac:dyDescent="0.25">
      <c r="A235" s="3"/>
      <c r="B235" s="49"/>
      <c r="D235" s="12"/>
      <c r="E235" s="12"/>
      <c r="F235" s="12"/>
      <c r="G235" s="12"/>
      <c r="H235" s="12"/>
      <c r="I235" s="3"/>
      <c r="J235" s="12"/>
      <c r="M235" s="12"/>
      <c r="V235" s="49"/>
      <c r="W235" s="12"/>
      <c r="X235" s="12"/>
      <c r="Y235" s="12"/>
      <c r="Z235" s="12"/>
      <c r="AA235" s="12"/>
      <c r="AB235" s="12"/>
      <c r="AC235" s="12"/>
    </row>
    <row r="236" spans="1:29" x14ac:dyDescent="0.25">
      <c r="A236" s="3"/>
      <c r="B236" s="49"/>
      <c r="D236" s="12"/>
      <c r="E236" s="12"/>
      <c r="F236" s="12"/>
      <c r="G236" s="12"/>
      <c r="H236" s="12"/>
      <c r="I236" s="3"/>
      <c r="J236" s="12"/>
      <c r="M236" s="12"/>
      <c r="V236" s="49"/>
      <c r="W236" s="12"/>
      <c r="X236" s="12"/>
      <c r="Y236" s="12"/>
      <c r="Z236" s="12"/>
      <c r="AA236" s="12"/>
      <c r="AB236" s="12"/>
      <c r="AC236" s="12"/>
    </row>
    <row r="237" spans="1:29" x14ac:dyDescent="0.25">
      <c r="A237" s="3"/>
      <c r="B237" s="49"/>
      <c r="D237" s="12"/>
      <c r="E237" s="12"/>
      <c r="F237" s="12"/>
      <c r="G237" s="12"/>
      <c r="H237" s="12"/>
      <c r="I237" s="3"/>
      <c r="J237" s="12"/>
      <c r="M237" s="12"/>
      <c r="V237" s="49"/>
      <c r="W237" s="12"/>
      <c r="X237" s="12"/>
      <c r="Y237" s="12"/>
      <c r="Z237" s="12"/>
      <c r="AA237" s="12"/>
      <c r="AB237" s="12"/>
      <c r="AC237" s="12"/>
    </row>
    <row r="238" spans="1:29" x14ac:dyDescent="0.25">
      <c r="A238" s="3"/>
      <c r="B238" s="49"/>
      <c r="D238" s="12"/>
      <c r="E238" s="12"/>
      <c r="F238" s="12"/>
      <c r="G238" s="12"/>
      <c r="H238" s="12"/>
      <c r="I238" s="3"/>
      <c r="J238" s="12"/>
      <c r="M238" s="12"/>
      <c r="V238" s="49"/>
      <c r="W238" s="12"/>
      <c r="X238" s="12"/>
      <c r="Y238" s="12"/>
      <c r="Z238" s="12"/>
      <c r="AA238" s="12"/>
      <c r="AB238" s="12"/>
      <c r="AC238" s="12"/>
    </row>
    <row r="239" spans="1:29" x14ac:dyDescent="0.25">
      <c r="A239" s="3"/>
      <c r="B239" s="49"/>
      <c r="D239" s="12"/>
      <c r="E239" s="12"/>
      <c r="F239" s="12"/>
      <c r="G239" s="12"/>
      <c r="H239" s="12"/>
      <c r="I239" s="3"/>
      <c r="J239" s="12"/>
      <c r="M239" s="12"/>
      <c r="V239" s="49"/>
      <c r="W239" s="12"/>
      <c r="X239" s="12"/>
      <c r="Y239" s="12"/>
      <c r="Z239" s="12"/>
      <c r="AA239" s="12"/>
      <c r="AB239" s="12"/>
      <c r="AC239" s="12"/>
    </row>
    <row r="240" spans="1:29" x14ac:dyDescent="0.25">
      <c r="A240" s="3"/>
      <c r="B240" s="49"/>
      <c r="D240" s="12"/>
      <c r="E240" s="12"/>
      <c r="F240" s="12"/>
      <c r="G240" s="12"/>
      <c r="H240" s="12"/>
      <c r="I240" s="3"/>
      <c r="J240" s="12"/>
      <c r="M240" s="12"/>
      <c r="V240" s="49"/>
      <c r="W240" s="12"/>
      <c r="X240" s="12"/>
      <c r="Y240" s="12"/>
      <c r="Z240" s="12"/>
      <c r="AA240" s="12"/>
      <c r="AB240" s="12"/>
      <c r="AC240" s="12"/>
    </row>
    <row r="241" spans="1:22" s="12" customFormat="1" x14ac:dyDescent="0.25">
      <c r="A241" s="3"/>
      <c r="B241" s="49"/>
      <c r="C241" s="3"/>
      <c r="I241" s="3"/>
      <c r="K241" s="3"/>
      <c r="L241" s="3"/>
      <c r="N241" s="3"/>
      <c r="O241" s="50"/>
      <c r="P241" s="3"/>
      <c r="Q241" s="51"/>
      <c r="R241" s="52"/>
      <c r="T241" s="3"/>
      <c r="V241" s="49"/>
    </row>
    <row r="242" spans="1:22" s="12" customFormat="1" x14ac:dyDescent="0.25">
      <c r="A242" s="3"/>
      <c r="B242" s="49"/>
      <c r="C242" s="3"/>
      <c r="I242" s="3"/>
      <c r="K242" s="3"/>
      <c r="L242" s="3"/>
      <c r="N242" s="3"/>
      <c r="O242" s="50"/>
      <c r="P242" s="3"/>
      <c r="Q242" s="51"/>
      <c r="R242" s="52"/>
      <c r="T242" s="3"/>
      <c r="V242" s="49"/>
    </row>
    <row r="243" spans="1:22" s="12" customFormat="1" x14ac:dyDescent="0.25">
      <c r="A243" s="3"/>
      <c r="B243" s="49"/>
      <c r="C243" s="3"/>
      <c r="I243" s="3"/>
      <c r="K243" s="3"/>
      <c r="L243" s="3"/>
      <c r="N243" s="3"/>
      <c r="O243" s="50"/>
      <c r="P243" s="3"/>
      <c r="Q243" s="51"/>
      <c r="R243" s="52"/>
      <c r="T243" s="3"/>
      <c r="V243" s="49"/>
    </row>
  </sheetData>
  <printOptions horizontalCentered="1" gridLines="1"/>
  <pageMargins left="0" right="0" top="0.75" bottom="0.5" header="0.3" footer="0.3"/>
  <pageSetup paperSize="9" scale="30" fitToHeight="100" orientation="landscape" r:id="rId1"/>
  <headerFooter>
    <oddHeader>&amp;C&amp;12CLOSED TRIP SHEET LOG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O150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5" style="47" customWidth="1"/>
    <col min="2" max="2" width="11.85546875" style="45" customWidth="1"/>
    <col min="3" max="3" width="13.140625" style="47" customWidth="1"/>
    <col min="4" max="4" width="12.140625" style="41" customWidth="1"/>
    <col min="5" max="5" width="12.85546875" style="41" customWidth="1"/>
    <col min="6" max="6" width="20" style="41" customWidth="1"/>
    <col min="7" max="7" width="13.85546875" style="45" customWidth="1"/>
    <col min="8" max="8" width="14.7109375" style="46" customWidth="1"/>
    <col min="9" max="9" width="10.140625" style="45" customWidth="1"/>
    <col min="10" max="10" width="14.140625" style="47" customWidth="1"/>
    <col min="11" max="11" width="16.42578125" style="43" customWidth="1"/>
    <col min="12" max="13" width="15" style="47" customWidth="1"/>
    <col min="14" max="14" width="51.42578125" style="42" customWidth="1"/>
    <col min="15" max="15" width="15" style="47" customWidth="1"/>
    <col min="16" max="16384" width="9.140625" style="44"/>
  </cols>
  <sheetData>
    <row r="1" spans="1:15" s="36" customFormat="1" ht="29.25" customHeight="1" x14ac:dyDescent="0.25">
      <c r="A1" s="35"/>
      <c r="C1" s="35"/>
      <c r="D1" s="37"/>
      <c r="E1" s="37"/>
      <c r="F1" s="37"/>
      <c r="J1" s="35"/>
      <c r="K1" s="38"/>
      <c r="L1" s="35"/>
      <c r="M1" s="35"/>
      <c r="O1" s="35"/>
    </row>
    <row r="2" spans="1:15" x14ac:dyDescent="0.25">
      <c r="A2" s="39"/>
      <c r="B2" s="40"/>
      <c r="C2" s="39"/>
      <c r="F2" s="40"/>
      <c r="G2" s="40"/>
      <c r="H2" s="42"/>
      <c r="I2" s="40"/>
      <c r="J2" s="39"/>
      <c r="L2" s="39"/>
      <c r="M2" s="39"/>
      <c r="O2" s="39"/>
    </row>
    <row r="3" spans="1:15" x14ac:dyDescent="0.25">
      <c r="A3" s="39"/>
      <c r="B3" s="40"/>
      <c r="C3" s="39"/>
      <c r="F3" s="40"/>
      <c r="G3" s="40"/>
      <c r="H3" s="42"/>
      <c r="I3" s="40"/>
      <c r="J3" s="39"/>
      <c r="L3" s="39"/>
      <c r="M3" s="39"/>
      <c r="O3" s="39"/>
    </row>
    <row r="4" spans="1:15" x14ac:dyDescent="0.25">
      <c r="A4" s="39"/>
      <c r="B4" s="40"/>
      <c r="C4" s="39"/>
      <c r="F4" s="40"/>
      <c r="G4" s="40"/>
      <c r="H4" s="42"/>
      <c r="I4" s="40"/>
      <c r="J4" s="39"/>
      <c r="L4" s="39"/>
      <c r="M4" s="39"/>
      <c r="O4" s="39"/>
    </row>
    <row r="5" spans="1:15" x14ac:dyDescent="0.25">
      <c r="A5" s="39"/>
      <c r="B5" s="40"/>
      <c r="C5" s="39"/>
      <c r="F5" s="40"/>
      <c r="G5" s="40"/>
      <c r="H5" s="42"/>
      <c r="I5" s="40"/>
      <c r="J5" s="39"/>
      <c r="L5" s="39"/>
      <c r="M5" s="39"/>
      <c r="O5" s="39"/>
    </row>
    <row r="6" spans="1:15" x14ac:dyDescent="0.25">
      <c r="A6" s="39"/>
      <c r="B6" s="40"/>
      <c r="C6" s="39"/>
      <c r="F6" s="40"/>
      <c r="G6" s="40"/>
      <c r="H6" s="42"/>
      <c r="I6" s="40"/>
      <c r="J6" s="39"/>
      <c r="L6" s="39"/>
      <c r="M6" s="39"/>
      <c r="O6" s="39"/>
    </row>
    <row r="7" spans="1:15" x14ac:dyDescent="0.25">
      <c r="A7" s="39"/>
      <c r="B7" s="40"/>
      <c r="C7" s="39"/>
      <c r="F7" s="40"/>
      <c r="G7" s="40"/>
      <c r="H7" s="42"/>
      <c r="I7" s="40"/>
      <c r="J7" s="39"/>
      <c r="L7" s="39"/>
      <c r="M7" s="39"/>
      <c r="O7" s="39"/>
    </row>
    <row r="8" spans="1:15" x14ac:dyDescent="0.25">
      <c r="A8" s="39"/>
      <c r="B8" s="40"/>
      <c r="C8" s="39"/>
      <c r="F8" s="40"/>
      <c r="G8" s="40"/>
      <c r="H8" s="42"/>
      <c r="I8" s="40"/>
      <c r="J8" s="39"/>
      <c r="L8" s="39"/>
      <c r="M8" s="39"/>
      <c r="O8" s="39"/>
    </row>
    <row r="9" spans="1:15" x14ac:dyDescent="0.25">
      <c r="A9" s="39"/>
      <c r="B9" s="40"/>
      <c r="C9" s="39"/>
      <c r="F9" s="40"/>
      <c r="G9" s="40"/>
      <c r="H9" s="42"/>
      <c r="I9" s="40"/>
      <c r="J9" s="39"/>
      <c r="L9" s="39"/>
      <c r="M9" s="39"/>
      <c r="O9" s="39"/>
    </row>
    <row r="10" spans="1:15" x14ac:dyDescent="0.25">
      <c r="A10" s="39"/>
      <c r="B10" s="40"/>
      <c r="C10" s="39"/>
      <c r="F10" s="40"/>
      <c r="G10" s="40"/>
      <c r="H10" s="42"/>
      <c r="I10" s="40"/>
      <c r="J10" s="39"/>
      <c r="L10" s="39"/>
      <c r="M10" s="39"/>
      <c r="O10" s="39"/>
    </row>
    <row r="11" spans="1:15" x14ac:dyDescent="0.25">
      <c r="A11" s="39"/>
      <c r="B11" s="40"/>
      <c r="C11" s="39"/>
      <c r="F11" s="40"/>
      <c r="G11" s="40"/>
      <c r="H11" s="42"/>
      <c r="I11" s="40"/>
      <c r="J11" s="39"/>
      <c r="L11" s="39"/>
      <c r="M11" s="39"/>
      <c r="O11" s="39"/>
    </row>
    <row r="12" spans="1:15" x14ac:dyDescent="0.25">
      <c r="A12" s="39"/>
      <c r="B12" s="40"/>
      <c r="C12" s="39"/>
      <c r="F12" s="40"/>
      <c r="G12" s="40"/>
      <c r="H12" s="42"/>
      <c r="I12" s="40"/>
      <c r="J12" s="39"/>
      <c r="L12" s="39"/>
      <c r="M12" s="39"/>
      <c r="O12" s="39"/>
    </row>
    <row r="13" spans="1:15" x14ac:dyDescent="0.25">
      <c r="A13" s="39"/>
      <c r="B13" s="40"/>
      <c r="C13" s="39"/>
      <c r="F13" s="40"/>
      <c r="G13" s="40"/>
      <c r="H13" s="42"/>
      <c r="I13" s="40"/>
      <c r="J13" s="39"/>
      <c r="L13" s="39"/>
      <c r="M13" s="39"/>
      <c r="O13" s="39"/>
    </row>
    <row r="14" spans="1:15" x14ac:dyDescent="0.25">
      <c r="A14" s="39"/>
      <c r="B14" s="40"/>
      <c r="C14" s="39"/>
      <c r="F14" s="40"/>
      <c r="G14" s="40"/>
      <c r="H14" s="42"/>
      <c r="I14" s="40"/>
      <c r="J14" s="39"/>
      <c r="L14" s="39"/>
      <c r="M14" s="39"/>
      <c r="O14" s="39"/>
    </row>
    <row r="15" spans="1:15" x14ac:dyDescent="0.25">
      <c r="A15" s="39"/>
      <c r="B15" s="40"/>
      <c r="C15" s="39"/>
      <c r="F15" s="40"/>
      <c r="G15" s="40"/>
      <c r="H15" s="42"/>
      <c r="I15" s="40"/>
      <c r="J15" s="39"/>
      <c r="L15" s="39"/>
      <c r="M15" s="39"/>
      <c r="O15" s="39"/>
    </row>
    <row r="16" spans="1:15" x14ac:dyDescent="0.25">
      <c r="A16" s="39"/>
      <c r="B16" s="40"/>
      <c r="C16" s="39"/>
      <c r="F16" s="40"/>
      <c r="G16" s="40"/>
      <c r="H16" s="42"/>
      <c r="I16" s="40"/>
      <c r="J16" s="39"/>
      <c r="L16" s="39"/>
      <c r="M16" s="39"/>
      <c r="O16" s="39"/>
    </row>
    <row r="17" spans="1:15" x14ac:dyDescent="0.25">
      <c r="A17" s="39"/>
      <c r="B17" s="40"/>
      <c r="C17" s="39"/>
      <c r="F17" s="40"/>
      <c r="G17" s="40"/>
      <c r="H17" s="42"/>
      <c r="I17" s="40"/>
      <c r="J17" s="39"/>
      <c r="L17" s="39"/>
      <c r="M17" s="39"/>
      <c r="O17" s="39"/>
    </row>
    <row r="18" spans="1:15" x14ac:dyDescent="0.25">
      <c r="A18" s="39"/>
      <c r="B18" s="40"/>
      <c r="C18" s="39"/>
      <c r="F18" s="40"/>
      <c r="G18" s="40"/>
      <c r="H18" s="42"/>
      <c r="I18" s="40"/>
      <c r="J18" s="39"/>
      <c r="L18" s="39"/>
      <c r="M18" s="39"/>
      <c r="O18" s="39"/>
    </row>
    <row r="19" spans="1:15" x14ac:dyDescent="0.25">
      <c r="A19" s="39"/>
      <c r="B19" s="40"/>
      <c r="C19" s="39"/>
      <c r="F19" s="40"/>
      <c r="G19" s="40"/>
      <c r="H19" s="42"/>
      <c r="I19" s="40"/>
      <c r="J19" s="39"/>
      <c r="L19" s="39"/>
      <c r="M19" s="39"/>
      <c r="O19" s="39"/>
    </row>
    <row r="20" spans="1:15" x14ac:dyDescent="0.25">
      <c r="A20" s="39"/>
      <c r="B20" s="40"/>
      <c r="C20" s="39"/>
      <c r="F20" s="40"/>
      <c r="G20" s="40"/>
      <c r="H20" s="42"/>
      <c r="I20" s="40"/>
      <c r="J20" s="39"/>
      <c r="L20" s="39"/>
      <c r="M20" s="39"/>
      <c r="O20" s="39"/>
    </row>
    <row r="21" spans="1:15" x14ac:dyDescent="0.25">
      <c r="A21" s="39"/>
      <c r="B21" s="40"/>
      <c r="C21" s="39"/>
      <c r="F21" s="40"/>
      <c r="G21" s="40"/>
      <c r="H21" s="42"/>
      <c r="I21" s="40"/>
      <c r="J21" s="39"/>
      <c r="L21" s="39"/>
      <c r="M21" s="39"/>
      <c r="O21" s="39"/>
    </row>
    <row r="22" spans="1:15" x14ac:dyDescent="0.25">
      <c r="A22" s="39"/>
      <c r="B22" s="40"/>
      <c r="C22" s="39"/>
      <c r="F22" s="40"/>
      <c r="G22" s="40"/>
      <c r="H22" s="42"/>
      <c r="I22" s="40"/>
      <c r="J22" s="39"/>
      <c r="L22" s="39"/>
      <c r="M22" s="39"/>
      <c r="O22" s="39"/>
    </row>
    <row r="23" spans="1:15" x14ac:dyDescent="0.25">
      <c r="A23" s="39"/>
      <c r="B23" s="40"/>
      <c r="C23" s="39"/>
      <c r="F23" s="40"/>
      <c r="G23" s="40"/>
      <c r="H23" s="42"/>
      <c r="I23" s="40"/>
      <c r="J23" s="39"/>
      <c r="L23" s="39"/>
      <c r="M23" s="39"/>
      <c r="O23" s="39"/>
    </row>
    <row r="24" spans="1:15" x14ac:dyDescent="0.25">
      <c r="A24" s="39"/>
      <c r="B24" s="40"/>
      <c r="C24" s="39"/>
      <c r="F24" s="40"/>
      <c r="G24" s="40"/>
      <c r="H24" s="42"/>
      <c r="I24" s="40"/>
      <c r="J24" s="39"/>
      <c r="L24" s="39"/>
      <c r="M24" s="39"/>
      <c r="O24" s="39"/>
    </row>
    <row r="25" spans="1:15" x14ac:dyDescent="0.25">
      <c r="A25" s="39"/>
      <c r="B25" s="40"/>
      <c r="C25" s="39"/>
      <c r="F25" s="40"/>
      <c r="G25" s="40"/>
      <c r="H25" s="42"/>
      <c r="I25" s="40"/>
      <c r="J25" s="39"/>
      <c r="L25" s="39"/>
      <c r="M25" s="39"/>
      <c r="O25" s="39"/>
    </row>
    <row r="26" spans="1:15" x14ac:dyDescent="0.25">
      <c r="A26" s="39"/>
      <c r="B26" s="40"/>
      <c r="C26" s="39"/>
      <c r="F26" s="40"/>
      <c r="G26" s="40"/>
      <c r="H26" s="42"/>
      <c r="I26" s="40"/>
      <c r="J26" s="39"/>
      <c r="L26" s="39"/>
      <c r="M26" s="39"/>
      <c r="O26" s="39"/>
    </row>
    <row r="27" spans="1:15" x14ac:dyDescent="0.25">
      <c r="A27" s="39"/>
      <c r="B27" s="40"/>
      <c r="C27" s="39"/>
      <c r="F27" s="40"/>
      <c r="G27" s="40"/>
      <c r="H27" s="42"/>
      <c r="I27" s="40"/>
      <c r="J27" s="39"/>
      <c r="L27" s="39"/>
      <c r="M27" s="39"/>
      <c r="O27" s="39"/>
    </row>
    <row r="28" spans="1:15" x14ac:dyDescent="0.25">
      <c r="A28" s="39"/>
      <c r="B28" s="40"/>
      <c r="C28" s="39"/>
      <c r="F28" s="40"/>
      <c r="G28" s="40"/>
      <c r="H28" s="42"/>
      <c r="I28" s="40"/>
      <c r="J28" s="39"/>
      <c r="L28" s="39"/>
      <c r="M28" s="39"/>
      <c r="O28" s="39"/>
    </row>
    <row r="29" spans="1:15" x14ac:dyDescent="0.25">
      <c r="A29" s="39"/>
      <c r="B29" s="40"/>
      <c r="C29" s="39"/>
      <c r="F29" s="40"/>
      <c r="G29" s="40"/>
      <c r="H29" s="42"/>
      <c r="I29" s="40"/>
      <c r="J29" s="39"/>
      <c r="L29" s="39"/>
      <c r="M29" s="39"/>
      <c r="O29" s="39"/>
    </row>
    <row r="30" spans="1:15" x14ac:dyDescent="0.25">
      <c r="A30" s="39"/>
      <c r="B30" s="40"/>
      <c r="C30" s="39"/>
      <c r="F30" s="40"/>
      <c r="G30" s="40"/>
      <c r="H30" s="42"/>
      <c r="I30" s="40"/>
      <c r="J30" s="39"/>
      <c r="L30" s="39"/>
      <c r="M30" s="39"/>
      <c r="O30" s="39"/>
    </row>
    <row r="31" spans="1:15" x14ac:dyDescent="0.25">
      <c r="A31" s="39"/>
      <c r="B31" s="40"/>
      <c r="C31" s="39"/>
      <c r="F31" s="40"/>
      <c r="G31" s="40"/>
      <c r="H31" s="42"/>
      <c r="I31" s="40"/>
      <c r="J31" s="39"/>
      <c r="L31" s="39"/>
      <c r="M31" s="39"/>
      <c r="O31" s="39"/>
    </row>
    <row r="32" spans="1:15" x14ac:dyDescent="0.25">
      <c r="A32" s="39"/>
      <c r="B32" s="40"/>
      <c r="C32" s="39"/>
      <c r="F32" s="40"/>
      <c r="G32" s="40"/>
      <c r="H32" s="42"/>
      <c r="I32" s="40"/>
      <c r="J32" s="39"/>
      <c r="L32" s="39"/>
      <c r="M32" s="39"/>
      <c r="O32" s="39"/>
    </row>
    <row r="33" spans="1:15" x14ac:dyDescent="0.25">
      <c r="A33" s="39"/>
      <c r="B33" s="40"/>
      <c r="C33" s="39"/>
      <c r="F33" s="40"/>
      <c r="G33" s="40"/>
      <c r="H33" s="42"/>
      <c r="I33" s="40"/>
      <c r="J33" s="39"/>
      <c r="L33" s="39"/>
      <c r="M33" s="39"/>
      <c r="O33" s="39"/>
    </row>
    <row r="34" spans="1:15" x14ac:dyDescent="0.25">
      <c r="A34" s="39"/>
      <c r="B34" s="40"/>
      <c r="C34" s="39"/>
      <c r="F34" s="40"/>
      <c r="G34" s="40"/>
      <c r="H34" s="42"/>
      <c r="I34" s="40"/>
      <c r="J34" s="39"/>
      <c r="L34" s="39"/>
      <c r="M34" s="39"/>
      <c r="O34" s="39"/>
    </row>
    <row r="35" spans="1:15" x14ac:dyDescent="0.25">
      <c r="A35" s="39"/>
      <c r="B35" s="40"/>
      <c r="C35" s="39"/>
      <c r="F35" s="40"/>
      <c r="G35" s="40"/>
      <c r="H35" s="42"/>
      <c r="I35" s="40"/>
      <c r="J35" s="39"/>
      <c r="L35" s="39"/>
      <c r="M35" s="39"/>
      <c r="O35" s="39"/>
    </row>
    <row r="36" spans="1:15" x14ac:dyDescent="0.25">
      <c r="A36" s="39"/>
      <c r="B36" s="40"/>
      <c r="C36" s="39"/>
      <c r="F36" s="40"/>
      <c r="G36" s="40"/>
      <c r="H36" s="42"/>
      <c r="I36" s="40"/>
      <c r="J36" s="39"/>
      <c r="L36" s="39"/>
      <c r="M36" s="39"/>
      <c r="O36" s="39"/>
    </row>
    <row r="37" spans="1:15" x14ac:dyDescent="0.25">
      <c r="A37" s="39"/>
      <c r="B37" s="40"/>
      <c r="C37" s="39"/>
      <c r="F37" s="40"/>
      <c r="G37" s="40"/>
      <c r="H37" s="42"/>
      <c r="I37" s="40"/>
      <c r="J37" s="39"/>
      <c r="L37" s="39"/>
      <c r="M37" s="39"/>
      <c r="O37" s="39"/>
    </row>
    <row r="38" spans="1:15" x14ac:dyDescent="0.25">
      <c r="A38" s="39"/>
      <c r="B38" s="40"/>
      <c r="C38" s="39"/>
      <c r="F38" s="40"/>
      <c r="G38" s="40"/>
      <c r="H38" s="42"/>
      <c r="I38" s="40"/>
      <c r="J38" s="39"/>
      <c r="L38" s="39"/>
      <c r="M38" s="39"/>
      <c r="O38" s="39"/>
    </row>
    <row r="39" spans="1:15" x14ac:dyDescent="0.25">
      <c r="A39" s="39"/>
      <c r="B39" s="40"/>
      <c r="C39" s="39"/>
      <c r="F39" s="40"/>
      <c r="G39" s="40"/>
      <c r="H39" s="42"/>
      <c r="I39" s="40"/>
      <c r="J39" s="39"/>
      <c r="L39" s="39"/>
      <c r="M39" s="39"/>
      <c r="O39" s="39"/>
    </row>
    <row r="40" spans="1:15" x14ac:dyDescent="0.25">
      <c r="A40" s="39"/>
      <c r="B40" s="40"/>
      <c r="C40" s="39"/>
      <c r="F40" s="40"/>
      <c r="G40" s="40"/>
      <c r="H40" s="42"/>
      <c r="I40" s="40"/>
      <c r="J40" s="39"/>
      <c r="L40" s="39"/>
      <c r="M40" s="39"/>
      <c r="O40" s="39"/>
    </row>
    <row r="41" spans="1:15" x14ac:dyDescent="0.25">
      <c r="A41" s="39"/>
      <c r="B41" s="40"/>
      <c r="C41" s="39"/>
      <c r="F41" s="40"/>
      <c r="G41" s="40"/>
      <c r="H41" s="42"/>
      <c r="I41" s="40"/>
      <c r="J41" s="39"/>
      <c r="L41" s="39"/>
      <c r="M41" s="39"/>
      <c r="O41" s="39"/>
    </row>
    <row r="42" spans="1:15" x14ac:dyDescent="0.25">
      <c r="A42" s="39"/>
      <c r="B42" s="40"/>
      <c r="C42" s="39"/>
      <c r="D42" s="130"/>
      <c r="E42" s="130"/>
      <c r="F42" s="40"/>
      <c r="G42" s="40"/>
      <c r="H42" s="42"/>
      <c r="I42" s="40"/>
      <c r="J42" s="39"/>
      <c r="L42" s="39"/>
      <c r="M42" s="39"/>
      <c r="O42" s="39"/>
    </row>
    <row r="43" spans="1:15" x14ac:dyDescent="0.25">
      <c r="A43" s="39"/>
      <c r="B43" s="40"/>
      <c r="C43" s="39"/>
      <c r="F43" s="40"/>
      <c r="G43" s="40"/>
      <c r="H43" s="42"/>
      <c r="I43" s="40"/>
      <c r="J43" s="39"/>
      <c r="L43" s="39"/>
      <c r="M43" s="39"/>
      <c r="O43" s="39"/>
    </row>
    <row r="44" spans="1:15" x14ac:dyDescent="0.25">
      <c r="A44" s="39"/>
      <c r="B44" s="40"/>
      <c r="C44" s="39"/>
      <c r="F44" s="40"/>
      <c r="G44" s="40"/>
      <c r="H44" s="42"/>
      <c r="I44" s="40"/>
      <c r="J44" s="39"/>
      <c r="L44" s="39"/>
      <c r="M44" s="39"/>
      <c r="O44" s="39"/>
    </row>
    <row r="45" spans="1:15" x14ac:dyDescent="0.25">
      <c r="A45" s="39"/>
      <c r="B45" s="40"/>
      <c r="C45" s="39"/>
      <c r="F45" s="40"/>
      <c r="G45" s="40"/>
      <c r="H45" s="42"/>
      <c r="I45" s="40"/>
      <c r="J45" s="39"/>
      <c r="L45" s="39"/>
      <c r="M45" s="39"/>
      <c r="O45" s="39"/>
    </row>
    <row r="46" spans="1:15" x14ac:dyDescent="0.25">
      <c r="A46" s="39"/>
      <c r="B46" s="40"/>
      <c r="C46" s="39"/>
      <c r="F46" s="40"/>
      <c r="G46" s="40"/>
      <c r="H46" s="42"/>
      <c r="I46" s="40"/>
      <c r="J46" s="39"/>
      <c r="L46" s="39"/>
      <c r="M46" s="39"/>
      <c r="O46" s="39"/>
    </row>
    <row r="47" spans="1:15" x14ac:dyDescent="0.25">
      <c r="A47" s="39"/>
      <c r="B47" s="40"/>
      <c r="C47" s="39"/>
      <c r="F47" s="40"/>
      <c r="G47" s="40"/>
      <c r="H47" s="42"/>
      <c r="I47" s="40"/>
      <c r="J47" s="39"/>
      <c r="L47" s="39"/>
      <c r="M47" s="39"/>
      <c r="O47" s="39"/>
    </row>
    <row r="48" spans="1:15" x14ac:dyDescent="0.25">
      <c r="A48" s="39"/>
      <c r="B48" s="40"/>
      <c r="C48" s="39"/>
      <c r="F48" s="40"/>
      <c r="G48" s="40"/>
      <c r="H48" s="42"/>
      <c r="I48" s="40"/>
      <c r="J48" s="39"/>
      <c r="L48" s="39"/>
      <c r="M48" s="39"/>
      <c r="O48" s="39"/>
    </row>
    <row r="49" spans="1:15" x14ac:dyDescent="0.25">
      <c r="A49" s="39"/>
      <c r="B49" s="40"/>
      <c r="C49" s="39"/>
      <c r="F49" s="40"/>
      <c r="G49" s="40"/>
      <c r="H49" s="42"/>
      <c r="I49" s="40"/>
      <c r="J49" s="39"/>
      <c r="L49" s="39"/>
      <c r="M49" s="39"/>
      <c r="O49" s="39"/>
    </row>
    <row r="50" spans="1:15" x14ac:dyDescent="0.25">
      <c r="A50" s="39"/>
      <c r="B50" s="40"/>
      <c r="C50" s="39"/>
      <c r="F50" s="40"/>
      <c r="G50" s="40"/>
      <c r="H50" s="42"/>
      <c r="I50" s="40"/>
      <c r="J50" s="39"/>
      <c r="L50" s="39"/>
      <c r="M50" s="39"/>
      <c r="O50" s="39"/>
    </row>
    <row r="51" spans="1:15" x14ac:dyDescent="0.25">
      <c r="A51" s="39"/>
      <c r="B51" s="40"/>
      <c r="C51" s="39"/>
      <c r="F51" s="40"/>
      <c r="G51" s="40"/>
      <c r="H51" s="42"/>
      <c r="I51" s="40"/>
      <c r="J51" s="39"/>
      <c r="L51" s="39"/>
      <c r="M51" s="39"/>
      <c r="O51" s="39"/>
    </row>
    <row r="52" spans="1:15" x14ac:dyDescent="0.25">
      <c r="A52" s="39"/>
      <c r="B52" s="40"/>
      <c r="C52" s="39"/>
      <c r="F52" s="40"/>
      <c r="G52" s="40"/>
      <c r="H52" s="42"/>
      <c r="I52" s="40"/>
      <c r="J52" s="39"/>
      <c r="L52" s="39"/>
      <c r="M52" s="39"/>
      <c r="O52" s="39"/>
    </row>
    <row r="53" spans="1:15" x14ac:dyDescent="0.25">
      <c r="A53" s="39"/>
      <c r="B53" s="40"/>
      <c r="C53" s="39"/>
      <c r="F53" s="40"/>
      <c r="G53" s="40"/>
      <c r="H53" s="42"/>
      <c r="I53" s="40"/>
      <c r="J53" s="39"/>
      <c r="L53" s="39"/>
      <c r="M53" s="39"/>
      <c r="O53" s="39"/>
    </row>
    <row r="54" spans="1:15" x14ac:dyDescent="0.25">
      <c r="A54" s="39"/>
      <c r="B54" s="40"/>
      <c r="C54" s="39"/>
      <c r="F54" s="40"/>
      <c r="G54" s="40"/>
      <c r="H54" s="42"/>
      <c r="I54" s="40"/>
      <c r="J54" s="39"/>
      <c r="L54" s="39"/>
      <c r="M54" s="39"/>
      <c r="O54" s="39"/>
    </row>
    <row r="55" spans="1:15" x14ac:dyDescent="0.25">
      <c r="A55" s="39"/>
      <c r="B55" s="40"/>
      <c r="C55" s="39"/>
      <c r="F55" s="40"/>
      <c r="G55" s="40"/>
      <c r="H55" s="42"/>
      <c r="I55" s="40"/>
      <c r="J55" s="39"/>
      <c r="L55" s="39"/>
      <c r="M55" s="39"/>
      <c r="O55" s="39"/>
    </row>
    <row r="56" spans="1:15" x14ac:dyDescent="0.25">
      <c r="A56" s="39"/>
      <c r="B56" s="40"/>
      <c r="C56" s="39"/>
      <c r="F56" s="40"/>
      <c r="G56" s="40"/>
      <c r="H56" s="42"/>
      <c r="I56" s="40"/>
      <c r="J56" s="39"/>
      <c r="L56" s="39"/>
      <c r="M56" s="39"/>
      <c r="O56" s="39"/>
    </row>
    <row r="57" spans="1:15" x14ac:dyDescent="0.25">
      <c r="A57" s="39"/>
      <c r="B57" s="40"/>
      <c r="C57" s="39"/>
      <c r="F57" s="40"/>
      <c r="G57" s="40"/>
      <c r="H57" s="42"/>
      <c r="I57" s="40"/>
      <c r="J57" s="39"/>
      <c r="L57" s="39"/>
      <c r="M57" s="39"/>
      <c r="O57" s="39"/>
    </row>
    <row r="58" spans="1:15" x14ac:dyDescent="0.25">
      <c r="A58" s="39"/>
      <c r="B58" s="40"/>
      <c r="C58" s="39"/>
      <c r="F58" s="40"/>
      <c r="G58" s="40"/>
      <c r="H58" s="42"/>
      <c r="I58" s="40"/>
      <c r="J58" s="39"/>
      <c r="L58" s="39"/>
      <c r="M58" s="39"/>
      <c r="O58" s="39"/>
    </row>
    <row r="59" spans="1:15" x14ac:dyDescent="0.25">
      <c r="A59" s="39"/>
      <c r="B59" s="40"/>
      <c r="C59" s="39"/>
      <c r="F59" s="40"/>
      <c r="G59" s="40"/>
      <c r="H59" s="42"/>
      <c r="I59" s="40"/>
      <c r="J59" s="39"/>
      <c r="L59" s="39"/>
      <c r="M59" s="39"/>
      <c r="O59" s="39"/>
    </row>
    <row r="60" spans="1:15" x14ac:dyDescent="0.25">
      <c r="A60" s="39"/>
      <c r="B60" s="40"/>
      <c r="C60" s="39"/>
      <c r="F60" s="40"/>
      <c r="G60" s="40"/>
      <c r="H60" s="42"/>
      <c r="I60" s="40"/>
      <c r="J60" s="39"/>
      <c r="L60" s="39"/>
      <c r="M60" s="39"/>
      <c r="O60" s="39"/>
    </row>
    <row r="61" spans="1:15" x14ac:dyDescent="0.25">
      <c r="A61" s="39"/>
      <c r="B61" s="40"/>
      <c r="C61" s="39"/>
      <c r="F61" s="40"/>
      <c r="G61" s="40"/>
      <c r="H61" s="42"/>
      <c r="I61" s="40"/>
      <c r="J61" s="39"/>
      <c r="L61" s="39"/>
      <c r="M61" s="39"/>
      <c r="O61" s="39"/>
    </row>
    <row r="62" spans="1:15" x14ac:dyDescent="0.25">
      <c r="A62" s="39"/>
      <c r="B62" s="40"/>
      <c r="C62" s="39"/>
      <c r="F62" s="40"/>
      <c r="G62" s="40"/>
      <c r="H62" s="42"/>
      <c r="I62" s="40"/>
      <c r="J62" s="39"/>
      <c r="L62" s="39"/>
      <c r="M62" s="39"/>
      <c r="O62" s="39"/>
    </row>
    <row r="63" spans="1:15" x14ac:dyDescent="0.25">
      <c r="A63" s="39"/>
      <c r="B63" s="40"/>
      <c r="C63" s="39"/>
      <c r="F63" s="40"/>
      <c r="G63" s="40"/>
      <c r="H63" s="42"/>
      <c r="I63" s="40"/>
      <c r="J63" s="39"/>
      <c r="L63" s="39"/>
      <c r="M63" s="39"/>
      <c r="O63" s="39"/>
    </row>
    <row r="64" spans="1:15" x14ac:dyDescent="0.25">
      <c r="A64" s="39"/>
      <c r="B64" s="40"/>
      <c r="C64" s="39"/>
      <c r="F64" s="40"/>
      <c r="G64" s="40"/>
      <c r="H64" s="42"/>
      <c r="I64" s="40"/>
      <c r="J64" s="39"/>
      <c r="L64" s="39"/>
      <c r="M64" s="39"/>
      <c r="O64" s="39"/>
    </row>
    <row r="65" spans="1:15" x14ac:dyDescent="0.25">
      <c r="A65" s="39"/>
      <c r="B65" s="40"/>
      <c r="C65" s="39"/>
      <c r="F65" s="40"/>
      <c r="G65" s="40"/>
      <c r="H65" s="42"/>
      <c r="I65" s="40"/>
      <c r="J65" s="39"/>
      <c r="L65" s="39"/>
      <c r="M65" s="39"/>
      <c r="O65" s="39"/>
    </row>
    <row r="66" spans="1:15" x14ac:dyDescent="0.25">
      <c r="A66" s="39"/>
      <c r="B66" s="40"/>
      <c r="C66" s="39"/>
      <c r="F66" s="40"/>
      <c r="G66" s="40"/>
      <c r="H66" s="42"/>
      <c r="I66" s="40"/>
      <c r="J66" s="39"/>
      <c r="L66" s="39"/>
      <c r="M66" s="39"/>
      <c r="O66" s="39"/>
    </row>
    <row r="67" spans="1:15" x14ac:dyDescent="0.25">
      <c r="A67" s="39"/>
      <c r="B67" s="40"/>
      <c r="C67" s="39"/>
      <c r="F67" s="40"/>
      <c r="G67" s="40"/>
      <c r="H67" s="42"/>
      <c r="I67" s="40"/>
      <c r="J67" s="39"/>
      <c r="L67" s="39"/>
      <c r="M67" s="39"/>
      <c r="O67" s="39"/>
    </row>
    <row r="68" spans="1:15" x14ac:dyDescent="0.25">
      <c r="A68" s="39"/>
      <c r="B68" s="40"/>
      <c r="C68" s="39"/>
      <c r="F68" s="40"/>
      <c r="G68" s="40"/>
      <c r="H68" s="42"/>
      <c r="I68" s="40"/>
      <c r="J68" s="39"/>
      <c r="L68" s="39"/>
      <c r="M68" s="39"/>
      <c r="O68" s="39"/>
    </row>
    <row r="69" spans="1:15" x14ac:dyDescent="0.25">
      <c r="A69" s="39"/>
      <c r="B69" s="40"/>
      <c r="C69" s="39"/>
      <c r="F69" s="40"/>
      <c r="G69" s="40"/>
      <c r="H69" s="42"/>
      <c r="I69" s="40"/>
      <c r="J69" s="39"/>
      <c r="L69" s="39"/>
      <c r="M69" s="39"/>
      <c r="O69" s="39"/>
    </row>
    <row r="70" spans="1:15" x14ac:dyDescent="0.25">
      <c r="A70" s="39"/>
      <c r="B70" s="40"/>
      <c r="C70" s="39"/>
      <c r="F70" s="40"/>
      <c r="G70" s="40"/>
      <c r="H70" s="42"/>
      <c r="I70" s="40"/>
      <c r="J70" s="39"/>
      <c r="L70" s="39"/>
      <c r="M70" s="39"/>
      <c r="O70" s="39"/>
    </row>
    <row r="71" spans="1:15" x14ac:dyDescent="0.25">
      <c r="A71" s="39"/>
      <c r="B71" s="40"/>
      <c r="C71" s="39"/>
      <c r="F71" s="40"/>
      <c r="G71" s="40"/>
      <c r="H71" s="42"/>
      <c r="I71" s="40"/>
      <c r="J71" s="39"/>
      <c r="L71" s="39"/>
      <c r="M71" s="39"/>
      <c r="O71" s="39"/>
    </row>
    <row r="72" spans="1:15" x14ac:dyDescent="0.25">
      <c r="A72" s="39"/>
      <c r="B72" s="40"/>
      <c r="C72" s="39"/>
      <c r="F72" s="40"/>
      <c r="G72" s="40"/>
      <c r="H72" s="42"/>
      <c r="I72" s="40"/>
      <c r="J72" s="39"/>
      <c r="L72" s="39"/>
      <c r="M72" s="39"/>
      <c r="O72" s="39"/>
    </row>
    <row r="73" spans="1:15" x14ac:dyDescent="0.25">
      <c r="A73" s="39"/>
      <c r="B73" s="40"/>
      <c r="C73" s="39"/>
      <c r="F73" s="40"/>
      <c r="G73" s="40"/>
      <c r="H73" s="42"/>
      <c r="I73" s="40"/>
      <c r="J73" s="39"/>
      <c r="L73" s="39"/>
      <c r="M73" s="39"/>
      <c r="O73" s="39"/>
    </row>
    <row r="74" spans="1:15" x14ac:dyDescent="0.25">
      <c r="A74" s="39"/>
      <c r="B74" s="40"/>
      <c r="C74" s="39"/>
      <c r="F74" s="40"/>
      <c r="G74" s="40"/>
      <c r="H74" s="42"/>
      <c r="I74" s="40"/>
      <c r="J74" s="39"/>
      <c r="L74" s="39"/>
      <c r="M74" s="39"/>
      <c r="O74" s="39"/>
    </row>
    <row r="75" spans="1:15" x14ac:dyDescent="0.25">
      <c r="A75" s="39"/>
      <c r="B75" s="40"/>
      <c r="C75" s="39"/>
      <c r="F75" s="40"/>
      <c r="G75" s="40"/>
      <c r="H75" s="42"/>
      <c r="I75" s="40"/>
      <c r="J75" s="39"/>
      <c r="L75" s="39"/>
      <c r="M75" s="39"/>
      <c r="O75" s="39"/>
    </row>
    <row r="76" spans="1:15" x14ac:dyDescent="0.25">
      <c r="A76" s="39"/>
      <c r="B76" s="40"/>
      <c r="C76" s="39"/>
      <c r="F76" s="40"/>
      <c r="G76" s="40"/>
      <c r="H76" s="42"/>
      <c r="I76" s="40"/>
      <c r="J76" s="39"/>
      <c r="L76" s="39"/>
      <c r="M76" s="39"/>
      <c r="O76" s="39"/>
    </row>
    <row r="77" spans="1:15" x14ac:dyDescent="0.25">
      <c r="A77" s="39"/>
      <c r="B77" s="40"/>
      <c r="C77" s="39"/>
      <c r="F77" s="40"/>
      <c r="G77" s="40"/>
      <c r="H77" s="42"/>
      <c r="I77" s="40"/>
      <c r="J77" s="39"/>
      <c r="L77" s="39"/>
      <c r="M77" s="39"/>
      <c r="O77" s="39"/>
    </row>
    <row r="78" spans="1:15" x14ac:dyDescent="0.25">
      <c r="A78" s="39"/>
      <c r="B78" s="40"/>
      <c r="C78" s="39"/>
      <c r="F78" s="40"/>
      <c r="G78" s="40"/>
      <c r="H78" s="42"/>
      <c r="I78" s="40"/>
      <c r="J78" s="39"/>
      <c r="L78" s="39"/>
      <c r="M78" s="39"/>
      <c r="O78" s="39"/>
    </row>
    <row r="79" spans="1:15" x14ac:dyDescent="0.25">
      <c r="A79" s="39"/>
      <c r="B79" s="40"/>
      <c r="C79" s="39"/>
      <c r="F79" s="40"/>
      <c r="G79" s="40"/>
      <c r="H79" s="42"/>
      <c r="I79" s="40"/>
      <c r="J79" s="39"/>
      <c r="L79" s="39"/>
      <c r="M79" s="39"/>
      <c r="O79" s="39"/>
    </row>
    <row r="80" spans="1:15" x14ac:dyDescent="0.25">
      <c r="A80" s="39"/>
      <c r="B80" s="40"/>
      <c r="C80" s="39"/>
      <c r="F80" s="40"/>
      <c r="G80" s="40"/>
      <c r="H80" s="42"/>
      <c r="I80" s="40"/>
      <c r="J80" s="39"/>
      <c r="L80" s="39"/>
      <c r="M80" s="39"/>
      <c r="O80" s="39"/>
    </row>
    <row r="81" spans="1:15" x14ac:dyDescent="0.25">
      <c r="A81" s="39"/>
      <c r="B81" s="40"/>
      <c r="C81" s="39"/>
      <c r="F81" s="40"/>
      <c r="G81" s="40"/>
      <c r="H81" s="42"/>
      <c r="I81" s="40"/>
      <c r="J81" s="39"/>
      <c r="L81" s="39"/>
      <c r="M81" s="39"/>
      <c r="O81" s="39"/>
    </row>
    <row r="82" spans="1:15" x14ac:dyDescent="0.25">
      <c r="A82" s="39"/>
      <c r="B82" s="40"/>
      <c r="C82" s="39"/>
      <c r="F82" s="40"/>
      <c r="G82" s="40"/>
      <c r="H82" s="42"/>
      <c r="I82" s="40"/>
      <c r="J82" s="39"/>
      <c r="L82" s="39"/>
      <c r="M82" s="39"/>
      <c r="O82" s="39"/>
    </row>
    <row r="83" spans="1:15" x14ac:dyDescent="0.25">
      <c r="A83" s="39"/>
      <c r="B83" s="40"/>
      <c r="C83" s="39"/>
      <c r="F83" s="40"/>
      <c r="G83" s="40"/>
      <c r="H83" s="42"/>
      <c r="I83" s="40"/>
      <c r="J83" s="39"/>
      <c r="L83" s="39"/>
      <c r="M83" s="39"/>
      <c r="O83" s="39"/>
    </row>
    <row r="84" spans="1:15" x14ac:dyDescent="0.25">
      <c r="A84" s="39"/>
      <c r="B84" s="40"/>
      <c r="C84" s="39"/>
      <c r="F84" s="40"/>
      <c r="G84" s="40"/>
      <c r="H84" s="42"/>
      <c r="I84" s="40"/>
      <c r="J84" s="39"/>
      <c r="L84" s="39"/>
      <c r="M84" s="39"/>
      <c r="O84" s="39"/>
    </row>
    <row r="85" spans="1:15" x14ac:dyDescent="0.25">
      <c r="A85" s="39"/>
      <c r="B85" s="40"/>
      <c r="C85" s="39"/>
      <c r="F85" s="40"/>
      <c r="G85" s="40"/>
      <c r="H85" s="42"/>
      <c r="I85" s="40"/>
      <c r="J85" s="39"/>
      <c r="L85" s="39"/>
      <c r="M85" s="39"/>
      <c r="O85" s="39"/>
    </row>
    <row r="86" spans="1:15" x14ac:dyDescent="0.25">
      <c r="A86" s="39"/>
      <c r="B86" s="40"/>
      <c r="C86" s="39"/>
      <c r="F86" s="40"/>
      <c r="G86" s="40"/>
      <c r="H86" s="42"/>
      <c r="I86" s="40"/>
      <c r="J86" s="39"/>
      <c r="L86" s="39"/>
      <c r="M86" s="39"/>
      <c r="O86" s="39"/>
    </row>
    <row r="87" spans="1:15" x14ac:dyDescent="0.25">
      <c r="A87" s="39"/>
      <c r="B87" s="40"/>
      <c r="C87" s="39"/>
      <c r="F87" s="40"/>
      <c r="G87" s="40"/>
      <c r="H87" s="42"/>
      <c r="I87" s="40"/>
      <c r="J87" s="39"/>
      <c r="L87" s="39"/>
      <c r="M87" s="39"/>
      <c r="O87" s="39"/>
    </row>
    <row r="88" spans="1:15" x14ac:dyDescent="0.25">
      <c r="A88" s="39"/>
      <c r="B88" s="40"/>
      <c r="C88" s="39"/>
      <c r="F88" s="40"/>
      <c r="G88" s="40"/>
      <c r="H88" s="42"/>
      <c r="I88" s="40"/>
      <c r="J88" s="39"/>
      <c r="L88" s="39"/>
      <c r="M88" s="39"/>
      <c r="O88" s="39"/>
    </row>
    <row r="89" spans="1:15" x14ac:dyDescent="0.25">
      <c r="A89" s="39"/>
      <c r="B89" s="40"/>
      <c r="C89" s="39"/>
      <c r="F89" s="40"/>
      <c r="G89" s="40"/>
      <c r="H89" s="42"/>
      <c r="I89" s="40"/>
      <c r="J89" s="39"/>
      <c r="L89" s="39"/>
      <c r="M89" s="39"/>
      <c r="O89" s="39"/>
    </row>
    <row r="90" spans="1:15" x14ac:dyDescent="0.25">
      <c r="A90" s="39"/>
      <c r="B90" s="40"/>
      <c r="C90" s="39"/>
      <c r="F90" s="40"/>
      <c r="G90" s="40"/>
      <c r="H90" s="42"/>
      <c r="I90" s="40"/>
      <c r="J90" s="39"/>
      <c r="L90" s="39"/>
      <c r="M90" s="39"/>
      <c r="O90" s="39"/>
    </row>
    <row r="91" spans="1:15" x14ac:dyDescent="0.25">
      <c r="A91" s="39"/>
      <c r="B91" s="40"/>
      <c r="C91" s="39"/>
      <c r="F91" s="40"/>
      <c r="G91" s="40"/>
      <c r="H91" s="42"/>
      <c r="I91" s="40"/>
      <c r="J91" s="39"/>
      <c r="L91" s="39"/>
      <c r="M91" s="39"/>
      <c r="O91" s="39"/>
    </row>
    <row r="92" spans="1:15" x14ac:dyDescent="0.25">
      <c r="A92" s="39"/>
      <c r="B92" s="40"/>
      <c r="C92" s="39"/>
      <c r="F92" s="40"/>
      <c r="G92" s="40"/>
      <c r="H92" s="42"/>
      <c r="I92" s="40"/>
      <c r="J92" s="39"/>
      <c r="L92" s="39"/>
      <c r="M92" s="39"/>
      <c r="O92" s="39"/>
    </row>
    <row r="93" spans="1:15" x14ac:dyDescent="0.25">
      <c r="A93" s="39"/>
      <c r="B93" s="40"/>
      <c r="C93" s="39"/>
      <c r="F93" s="40"/>
      <c r="G93" s="40"/>
      <c r="H93" s="42"/>
      <c r="I93" s="40"/>
      <c r="J93" s="39"/>
      <c r="L93" s="39"/>
      <c r="M93" s="39"/>
      <c r="O93" s="39"/>
    </row>
    <row r="94" spans="1:15" x14ac:dyDescent="0.25">
      <c r="A94" s="39"/>
      <c r="B94" s="40"/>
      <c r="C94" s="39"/>
      <c r="F94" s="40"/>
      <c r="G94" s="40"/>
      <c r="H94" s="42"/>
      <c r="I94" s="40"/>
      <c r="J94" s="39"/>
      <c r="L94" s="39"/>
      <c r="M94" s="39"/>
      <c r="O94" s="39"/>
    </row>
    <row r="95" spans="1:15" x14ac:dyDescent="0.25">
      <c r="A95" s="39"/>
      <c r="B95" s="40"/>
      <c r="C95" s="39"/>
      <c r="F95" s="40"/>
      <c r="G95" s="40"/>
      <c r="H95" s="42"/>
      <c r="I95" s="40"/>
      <c r="J95" s="39"/>
      <c r="L95" s="39"/>
      <c r="M95" s="39"/>
      <c r="O95" s="39"/>
    </row>
    <row r="96" spans="1:15" x14ac:dyDescent="0.25">
      <c r="A96" s="39"/>
      <c r="B96" s="40"/>
      <c r="C96" s="39"/>
      <c r="F96" s="40"/>
      <c r="G96" s="40"/>
      <c r="H96" s="42"/>
      <c r="I96" s="40"/>
      <c r="J96" s="39"/>
      <c r="L96" s="39"/>
      <c r="M96" s="39"/>
      <c r="O96" s="39"/>
    </row>
    <row r="97" spans="1:15" x14ac:dyDescent="0.25">
      <c r="A97" s="39"/>
      <c r="B97" s="40"/>
      <c r="C97" s="39"/>
      <c r="F97" s="40"/>
      <c r="G97" s="40"/>
      <c r="H97" s="42"/>
      <c r="I97" s="40"/>
      <c r="J97" s="39"/>
      <c r="L97" s="39"/>
      <c r="M97" s="39"/>
      <c r="O97" s="39"/>
    </row>
    <row r="98" spans="1:15" x14ac:dyDescent="0.25">
      <c r="A98" s="39"/>
      <c r="B98" s="40"/>
      <c r="C98" s="39"/>
      <c r="F98" s="40"/>
      <c r="G98" s="40"/>
      <c r="H98" s="42"/>
      <c r="I98" s="40"/>
      <c r="J98" s="39"/>
      <c r="L98" s="39"/>
      <c r="M98" s="39"/>
      <c r="O98" s="39"/>
    </row>
    <row r="99" spans="1:15" x14ac:dyDescent="0.25">
      <c r="A99" s="39"/>
      <c r="B99" s="40"/>
      <c r="C99" s="39"/>
      <c r="F99" s="40"/>
      <c r="G99" s="40"/>
      <c r="H99" s="42"/>
      <c r="I99" s="40"/>
      <c r="J99" s="39"/>
      <c r="L99" s="39"/>
      <c r="M99" s="39"/>
      <c r="O99" s="39"/>
    </row>
    <row r="100" spans="1:15" x14ac:dyDescent="0.25">
      <c r="A100" s="39"/>
      <c r="B100" s="40"/>
      <c r="C100" s="39"/>
      <c r="F100" s="40"/>
      <c r="G100" s="40"/>
      <c r="H100" s="42"/>
      <c r="I100" s="40"/>
      <c r="J100" s="39"/>
      <c r="L100" s="39"/>
      <c r="M100" s="39"/>
      <c r="O100" s="39"/>
    </row>
    <row r="101" spans="1:15" x14ac:dyDescent="0.25">
      <c r="A101" s="39"/>
      <c r="B101" s="40"/>
      <c r="C101" s="39"/>
      <c r="F101" s="40"/>
      <c r="G101" s="40"/>
      <c r="H101" s="42"/>
      <c r="I101" s="40"/>
      <c r="J101" s="39"/>
      <c r="L101" s="39"/>
      <c r="M101" s="39"/>
      <c r="O101" s="39"/>
    </row>
    <row r="102" spans="1:15" x14ac:dyDescent="0.25">
      <c r="A102" s="39"/>
      <c r="B102" s="40"/>
      <c r="C102" s="39"/>
      <c r="F102" s="40"/>
      <c r="G102" s="40"/>
      <c r="H102" s="42"/>
      <c r="I102" s="40"/>
      <c r="J102" s="39"/>
      <c r="L102" s="39"/>
      <c r="M102" s="39"/>
      <c r="O102" s="39"/>
    </row>
    <row r="103" spans="1:15" x14ac:dyDescent="0.25">
      <c r="A103" s="39"/>
      <c r="B103" s="40"/>
      <c r="C103" s="39"/>
      <c r="F103" s="40"/>
      <c r="G103" s="40"/>
      <c r="H103" s="42"/>
      <c r="I103" s="40"/>
      <c r="J103" s="39"/>
      <c r="L103" s="39"/>
      <c r="M103" s="39"/>
      <c r="O103" s="39"/>
    </row>
    <row r="104" spans="1:15" x14ac:dyDescent="0.25">
      <c r="A104" s="39"/>
      <c r="B104" s="40"/>
      <c r="C104" s="39"/>
      <c r="F104" s="40"/>
      <c r="G104" s="40"/>
      <c r="H104" s="42"/>
      <c r="I104" s="40"/>
      <c r="J104" s="39"/>
      <c r="L104" s="39"/>
      <c r="M104" s="39"/>
      <c r="O104" s="39"/>
    </row>
    <row r="105" spans="1:15" x14ac:dyDescent="0.25">
      <c r="A105" s="39"/>
      <c r="B105" s="40"/>
      <c r="C105" s="39"/>
      <c r="F105" s="40"/>
      <c r="G105" s="40"/>
      <c r="H105" s="42"/>
      <c r="I105" s="40"/>
      <c r="J105" s="39"/>
      <c r="L105" s="39"/>
      <c r="M105" s="39"/>
      <c r="O105" s="39"/>
    </row>
    <row r="106" spans="1:15" x14ac:dyDescent="0.25">
      <c r="A106" s="39"/>
      <c r="B106" s="40"/>
      <c r="C106" s="39"/>
      <c r="F106" s="40"/>
      <c r="G106" s="40"/>
      <c r="H106" s="42"/>
      <c r="I106" s="40"/>
      <c r="J106" s="39"/>
      <c r="L106" s="39"/>
      <c r="M106" s="39"/>
      <c r="O106" s="39"/>
    </row>
    <row r="107" spans="1:15" x14ac:dyDescent="0.25">
      <c r="A107" s="39"/>
      <c r="B107" s="40"/>
      <c r="C107" s="39"/>
      <c r="F107" s="40"/>
      <c r="G107" s="40"/>
      <c r="H107" s="42"/>
      <c r="I107" s="40"/>
      <c r="J107" s="39"/>
      <c r="L107" s="39"/>
      <c r="M107" s="39"/>
      <c r="O107" s="39"/>
    </row>
    <row r="108" spans="1:15" x14ac:dyDescent="0.25">
      <c r="A108" s="39"/>
      <c r="B108" s="40"/>
      <c r="C108" s="39"/>
      <c r="F108" s="40"/>
      <c r="G108" s="40"/>
      <c r="H108" s="42"/>
      <c r="I108" s="40"/>
      <c r="J108" s="39"/>
      <c r="L108" s="39"/>
      <c r="M108" s="39"/>
      <c r="O108" s="39"/>
    </row>
    <row r="109" spans="1:15" x14ac:dyDescent="0.25">
      <c r="A109" s="39"/>
      <c r="B109" s="40"/>
      <c r="C109" s="39"/>
      <c r="F109" s="40"/>
      <c r="G109" s="40"/>
      <c r="H109" s="42"/>
      <c r="I109" s="40"/>
      <c r="J109" s="39"/>
      <c r="L109" s="39"/>
      <c r="M109" s="39"/>
      <c r="O109" s="39"/>
    </row>
    <row r="110" spans="1:15" x14ac:dyDescent="0.25">
      <c r="A110" s="39"/>
      <c r="B110" s="40"/>
      <c r="C110" s="39"/>
      <c r="F110" s="40"/>
      <c r="G110" s="40"/>
      <c r="H110" s="42"/>
      <c r="I110" s="40"/>
      <c r="J110" s="39"/>
      <c r="L110" s="39"/>
      <c r="M110" s="39"/>
      <c r="O110" s="39"/>
    </row>
    <row r="111" spans="1:15" x14ac:dyDescent="0.25">
      <c r="A111" s="39"/>
      <c r="B111" s="40"/>
      <c r="C111" s="39"/>
      <c r="F111" s="40"/>
      <c r="G111" s="40"/>
      <c r="H111" s="42"/>
      <c r="I111" s="40"/>
      <c r="J111" s="39"/>
      <c r="L111" s="39"/>
      <c r="M111" s="39"/>
      <c r="O111" s="39"/>
    </row>
    <row r="112" spans="1:15" x14ac:dyDescent="0.25">
      <c r="A112" s="39"/>
      <c r="B112" s="40"/>
      <c r="C112" s="39"/>
      <c r="F112" s="40"/>
      <c r="G112" s="40"/>
      <c r="H112" s="42"/>
      <c r="I112" s="40"/>
      <c r="J112" s="39"/>
      <c r="L112" s="39"/>
      <c r="M112" s="39"/>
      <c r="O112" s="39"/>
    </row>
    <row r="113" spans="1:15" x14ac:dyDescent="0.25">
      <c r="A113" s="39"/>
      <c r="B113" s="40"/>
      <c r="C113" s="39"/>
      <c r="F113" s="40"/>
      <c r="G113" s="40"/>
      <c r="H113" s="42"/>
      <c r="I113" s="40"/>
      <c r="J113" s="39"/>
      <c r="L113" s="39"/>
      <c r="M113" s="39"/>
      <c r="O113" s="39"/>
    </row>
    <row r="114" spans="1:15" x14ac:dyDescent="0.25">
      <c r="A114" s="39"/>
      <c r="B114" s="40"/>
      <c r="C114" s="39"/>
      <c r="F114" s="40"/>
      <c r="G114" s="40"/>
      <c r="H114" s="42"/>
      <c r="I114" s="40"/>
      <c r="J114" s="39"/>
      <c r="L114" s="39"/>
      <c r="M114" s="39"/>
      <c r="O114" s="39"/>
    </row>
    <row r="115" spans="1:15" x14ac:dyDescent="0.25">
      <c r="A115" s="39"/>
      <c r="B115" s="40"/>
      <c r="C115" s="39"/>
      <c r="F115" s="40"/>
      <c r="G115" s="40"/>
      <c r="H115" s="42"/>
      <c r="I115" s="40"/>
      <c r="J115" s="39"/>
      <c r="L115" s="39"/>
      <c r="M115" s="39"/>
      <c r="O115" s="39"/>
    </row>
    <row r="116" spans="1:15" x14ac:dyDescent="0.25">
      <c r="A116" s="39"/>
      <c r="B116" s="40"/>
      <c r="C116" s="39"/>
      <c r="F116" s="40"/>
      <c r="G116" s="40"/>
      <c r="H116" s="42"/>
      <c r="I116" s="40"/>
      <c r="J116" s="39"/>
      <c r="L116" s="39"/>
      <c r="M116" s="39"/>
      <c r="O116" s="39"/>
    </row>
    <row r="117" spans="1:15" x14ac:dyDescent="0.25">
      <c r="A117" s="39"/>
      <c r="B117" s="40"/>
      <c r="C117" s="39"/>
      <c r="F117" s="40"/>
      <c r="G117" s="40"/>
      <c r="H117" s="42"/>
      <c r="I117" s="40"/>
      <c r="J117" s="39"/>
      <c r="L117" s="39"/>
      <c r="M117" s="39"/>
      <c r="O117" s="39"/>
    </row>
    <row r="118" spans="1:15" x14ac:dyDescent="0.25">
      <c r="A118" s="39"/>
      <c r="B118" s="40"/>
      <c r="C118" s="39"/>
      <c r="F118" s="40"/>
      <c r="G118" s="40"/>
      <c r="H118" s="42"/>
      <c r="I118" s="40"/>
      <c r="J118" s="39"/>
      <c r="L118" s="39"/>
      <c r="M118" s="39"/>
      <c r="O118" s="39"/>
    </row>
    <row r="119" spans="1:15" x14ac:dyDescent="0.25">
      <c r="A119" s="39"/>
      <c r="B119" s="40"/>
      <c r="C119" s="39"/>
      <c r="F119" s="40"/>
      <c r="G119" s="40"/>
      <c r="H119" s="42"/>
      <c r="I119" s="40"/>
      <c r="J119" s="39"/>
      <c r="L119" s="39"/>
      <c r="M119" s="39"/>
      <c r="O119" s="39"/>
    </row>
    <row r="120" spans="1:15" x14ac:dyDescent="0.25">
      <c r="A120" s="39"/>
      <c r="B120" s="40"/>
      <c r="C120" s="39"/>
      <c r="F120" s="40"/>
      <c r="G120" s="40"/>
      <c r="H120" s="42"/>
      <c r="I120" s="40"/>
      <c r="J120" s="39"/>
      <c r="L120" s="39"/>
      <c r="M120" s="39"/>
      <c r="O120" s="39"/>
    </row>
    <row r="121" spans="1:15" x14ac:dyDescent="0.25">
      <c r="A121" s="39"/>
      <c r="B121" s="40"/>
      <c r="C121" s="39"/>
      <c r="F121" s="40"/>
      <c r="G121" s="40"/>
      <c r="H121" s="42"/>
      <c r="I121" s="40"/>
      <c r="J121" s="39"/>
      <c r="L121" s="39"/>
      <c r="M121" s="39"/>
      <c r="O121" s="39"/>
    </row>
    <row r="122" spans="1:15" x14ac:dyDescent="0.25">
      <c r="A122" s="39"/>
      <c r="B122" s="40"/>
      <c r="C122" s="39"/>
      <c r="F122" s="40"/>
      <c r="G122" s="40"/>
      <c r="H122" s="42"/>
      <c r="I122" s="40"/>
      <c r="J122" s="39"/>
      <c r="L122" s="39"/>
      <c r="M122" s="39"/>
      <c r="O122" s="39"/>
    </row>
    <row r="123" spans="1:15" x14ac:dyDescent="0.25">
      <c r="A123" s="39"/>
      <c r="B123" s="40"/>
      <c r="C123" s="39"/>
      <c r="F123" s="40"/>
      <c r="G123" s="40"/>
      <c r="H123" s="42"/>
      <c r="I123" s="40"/>
      <c r="J123" s="39"/>
      <c r="L123" s="39"/>
      <c r="M123" s="39"/>
      <c r="O123" s="39"/>
    </row>
    <row r="124" spans="1:15" x14ac:dyDescent="0.25">
      <c r="A124" s="39"/>
      <c r="B124" s="40"/>
      <c r="C124" s="39"/>
      <c r="F124" s="40"/>
      <c r="G124" s="40"/>
      <c r="H124" s="42"/>
      <c r="I124" s="40"/>
      <c r="J124" s="39"/>
      <c r="L124" s="39"/>
      <c r="M124" s="39"/>
      <c r="O124" s="39"/>
    </row>
    <row r="125" spans="1:15" x14ac:dyDescent="0.25">
      <c r="A125" s="39"/>
      <c r="B125" s="40"/>
      <c r="C125" s="39"/>
      <c r="F125" s="40"/>
      <c r="G125" s="40"/>
      <c r="H125" s="42"/>
      <c r="I125" s="40"/>
      <c r="J125" s="39"/>
      <c r="L125" s="39"/>
      <c r="M125" s="39"/>
      <c r="O125" s="39"/>
    </row>
    <row r="126" spans="1:15" x14ac:dyDescent="0.25">
      <c r="A126" s="39"/>
      <c r="B126" s="40"/>
      <c r="C126" s="39"/>
      <c r="I126" s="40"/>
      <c r="J126" s="39"/>
      <c r="L126" s="39"/>
      <c r="M126" s="39"/>
      <c r="O126" s="39"/>
    </row>
    <row r="127" spans="1:15" x14ac:dyDescent="0.25">
      <c r="A127" s="39"/>
      <c r="B127" s="40"/>
      <c r="C127" s="39"/>
      <c r="F127" s="40"/>
      <c r="G127" s="40"/>
      <c r="H127" s="42"/>
      <c r="I127" s="40"/>
      <c r="J127" s="39"/>
      <c r="L127" s="39"/>
      <c r="M127" s="39"/>
      <c r="O127" s="39"/>
    </row>
    <row r="128" spans="1:15" x14ac:dyDescent="0.25">
      <c r="A128" s="39"/>
      <c r="B128" s="40"/>
      <c r="C128" s="39"/>
      <c r="F128" s="40"/>
      <c r="G128" s="40"/>
      <c r="H128" s="42"/>
      <c r="I128" s="40"/>
      <c r="J128" s="39"/>
      <c r="L128" s="39"/>
      <c r="M128" s="39"/>
      <c r="O128" s="39"/>
    </row>
    <row r="129" spans="1:15" x14ac:dyDescent="0.25">
      <c r="A129" s="39"/>
      <c r="B129" s="40"/>
      <c r="C129" s="39"/>
      <c r="F129" s="40"/>
      <c r="G129" s="40"/>
      <c r="H129" s="42"/>
      <c r="I129" s="40"/>
      <c r="J129" s="39"/>
      <c r="L129" s="39"/>
      <c r="M129" s="39"/>
      <c r="O129" s="39"/>
    </row>
    <row r="130" spans="1:15" x14ac:dyDescent="0.25">
      <c r="A130" s="39"/>
      <c r="B130" s="40"/>
      <c r="C130" s="39"/>
      <c r="F130" s="40"/>
      <c r="G130" s="40"/>
      <c r="H130" s="42"/>
      <c r="I130" s="40"/>
      <c r="J130" s="39"/>
      <c r="L130" s="39"/>
      <c r="M130" s="39"/>
      <c r="O130" s="39"/>
    </row>
    <row r="131" spans="1:15" x14ac:dyDescent="0.25">
      <c r="A131" s="39"/>
      <c r="B131" s="40"/>
      <c r="C131" s="39"/>
      <c r="F131" s="40"/>
      <c r="G131" s="40"/>
      <c r="H131" s="42"/>
      <c r="I131" s="40"/>
      <c r="J131" s="39"/>
      <c r="L131" s="39"/>
      <c r="M131" s="39"/>
      <c r="O131" s="39"/>
    </row>
    <row r="132" spans="1:15" x14ac:dyDescent="0.25">
      <c r="A132" s="39"/>
      <c r="B132" s="40"/>
      <c r="C132" s="39"/>
      <c r="F132" s="40"/>
      <c r="G132" s="40"/>
      <c r="H132" s="42"/>
      <c r="I132" s="40"/>
      <c r="J132" s="39"/>
      <c r="L132" s="39"/>
      <c r="M132" s="39"/>
      <c r="O132" s="39"/>
    </row>
    <row r="133" spans="1:15" x14ac:dyDescent="0.25">
      <c r="A133" s="39"/>
      <c r="B133" s="40"/>
      <c r="C133" s="39"/>
      <c r="F133" s="40"/>
      <c r="G133" s="40"/>
      <c r="H133" s="42"/>
      <c r="I133" s="40"/>
      <c r="J133" s="39"/>
      <c r="L133" s="39"/>
      <c r="M133" s="39"/>
      <c r="O133" s="39"/>
    </row>
    <row r="134" spans="1:15" x14ac:dyDescent="0.25">
      <c r="A134" s="39"/>
      <c r="B134" s="40"/>
      <c r="C134" s="39"/>
      <c r="F134" s="40"/>
      <c r="G134" s="40"/>
      <c r="H134" s="42"/>
      <c r="I134" s="40"/>
      <c r="J134" s="39"/>
      <c r="L134" s="39"/>
      <c r="M134" s="39"/>
      <c r="O134" s="39"/>
    </row>
    <row r="135" spans="1:15" x14ac:dyDescent="0.25">
      <c r="A135" s="39"/>
      <c r="B135" s="40"/>
      <c r="C135" s="39"/>
      <c r="F135" s="40"/>
      <c r="G135" s="40"/>
      <c r="H135" s="42"/>
      <c r="I135" s="40"/>
      <c r="J135" s="39"/>
      <c r="L135" s="39"/>
      <c r="M135" s="39"/>
      <c r="O135" s="39"/>
    </row>
    <row r="136" spans="1:15" x14ac:dyDescent="0.25">
      <c r="A136" s="39"/>
      <c r="B136" s="40"/>
      <c r="C136" s="39"/>
      <c r="F136" s="40"/>
      <c r="G136" s="40"/>
      <c r="H136" s="42"/>
      <c r="I136" s="40"/>
      <c r="J136" s="39"/>
      <c r="L136" s="39"/>
      <c r="M136" s="39"/>
      <c r="O136" s="39"/>
    </row>
    <row r="137" spans="1:15" x14ac:dyDescent="0.25">
      <c r="A137" s="39"/>
      <c r="B137" s="40"/>
      <c r="C137" s="39"/>
      <c r="G137" s="40"/>
      <c r="H137" s="42"/>
      <c r="I137" s="40"/>
      <c r="J137" s="39"/>
      <c r="L137" s="39"/>
      <c r="M137" s="39"/>
      <c r="O137" s="39"/>
    </row>
    <row r="138" spans="1:15" x14ac:dyDescent="0.25">
      <c r="A138" s="39"/>
      <c r="B138" s="40"/>
      <c r="C138" s="39"/>
      <c r="F138" s="40"/>
      <c r="G138" s="40"/>
      <c r="H138" s="42"/>
      <c r="I138" s="40"/>
      <c r="J138" s="39"/>
      <c r="L138" s="39"/>
      <c r="M138" s="39"/>
      <c r="O138" s="39"/>
    </row>
    <row r="145" spans="12:13" x14ac:dyDescent="0.25">
      <c r="M145" s="48"/>
    </row>
    <row r="150" spans="12:13" x14ac:dyDescent="0.25">
      <c r="L150" s="45"/>
    </row>
  </sheetData>
  <mergeCells count="1">
    <mergeCell ref="D42:E42"/>
  </mergeCells>
  <printOptions horizontalCentered="1" gridLines="1"/>
  <pageMargins left="0" right="0" top="0.75" bottom="0.5" header="0.3" footer="0.3"/>
  <pageSetup paperSize="9" scale="57" fitToHeight="100" orientation="landscape" r:id="rId1"/>
  <headerFooter>
    <oddHeader>&amp;C&amp;12CD3 SCHEDULE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N236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10.28515625" style="7" customWidth="1"/>
    <col min="2" max="2" width="15.7109375" style="53" customWidth="1"/>
    <col min="3" max="3" width="12.140625" style="3" customWidth="1"/>
    <col min="4" max="4" width="14.28515625" style="3" bestFit="1" customWidth="1"/>
    <col min="5" max="5" width="14.28515625" style="3" customWidth="1"/>
    <col min="6" max="6" width="15.140625" style="3" customWidth="1"/>
    <col min="7" max="7" width="14.28515625" style="3" customWidth="1"/>
    <col min="8" max="8" width="21" style="16" customWidth="1"/>
    <col min="9" max="9" width="20.7109375" style="33" customWidth="1"/>
    <col min="10" max="10" width="20.7109375" style="16" customWidth="1"/>
    <col min="11" max="11" width="15.85546875" style="3" customWidth="1"/>
    <col min="12" max="12" width="19.85546875" style="3" customWidth="1"/>
    <col min="13" max="13" width="20.7109375" style="16" customWidth="1"/>
    <col min="14" max="14" width="15.85546875" style="3" customWidth="1"/>
    <col min="15" max="15" width="17.5703125" style="104" customWidth="1"/>
    <col min="16" max="16384" width="9.140625" style="104"/>
  </cols>
  <sheetData>
    <row r="1" spans="1:14" s="103" customFormat="1" x14ac:dyDescent="0.25">
      <c r="A1" s="13"/>
      <c r="B1" s="105"/>
      <c r="C1" s="105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</row>
    <row r="2" spans="1:14" x14ac:dyDescent="0.25">
      <c r="A2" s="106"/>
      <c r="B2" s="107"/>
      <c r="C2" s="108"/>
      <c r="D2" s="108"/>
      <c r="E2" s="108"/>
      <c r="F2" s="108"/>
      <c r="G2" s="108"/>
      <c r="H2" s="109"/>
      <c r="I2" s="110"/>
      <c r="J2" s="111"/>
      <c r="K2" s="108"/>
      <c r="L2" s="108"/>
      <c r="M2" s="111"/>
      <c r="N2" s="108"/>
    </row>
    <row r="3" spans="1:14" x14ac:dyDescent="0.25">
      <c r="A3" s="112"/>
      <c r="B3" s="113"/>
      <c r="C3" s="114"/>
      <c r="D3" s="114"/>
      <c r="E3" s="114"/>
      <c r="F3" s="114"/>
      <c r="G3" s="114"/>
      <c r="H3" s="115"/>
      <c r="I3" s="116"/>
      <c r="J3" s="117"/>
      <c r="K3" s="114"/>
      <c r="L3" s="114"/>
      <c r="M3" s="117"/>
      <c r="N3" s="114"/>
    </row>
    <row r="4" spans="1:14" x14ac:dyDescent="0.25">
      <c r="A4" s="118"/>
      <c r="B4" s="99"/>
      <c r="C4" s="100"/>
      <c r="D4" s="100"/>
      <c r="E4" s="100"/>
      <c r="F4" s="100"/>
      <c r="G4" s="100"/>
      <c r="H4" s="101"/>
      <c r="I4" s="102"/>
      <c r="J4" s="101"/>
      <c r="K4" s="100"/>
      <c r="L4" s="119"/>
      <c r="M4" s="120"/>
      <c r="N4" s="100"/>
    </row>
    <row r="5" spans="1:14" x14ac:dyDescent="0.25">
      <c r="A5" s="112"/>
      <c r="B5" s="113"/>
      <c r="C5" s="114"/>
      <c r="D5" s="114"/>
      <c r="E5" s="114"/>
      <c r="F5" s="114"/>
      <c r="G5" s="114"/>
      <c r="H5" s="117"/>
      <c r="I5" s="116"/>
      <c r="J5" s="117"/>
      <c r="K5" s="114"/>
      <c r="L5" s="121"/>
      <c r="M5" s="115"/>
      <c r="N5" s="114"/>
    </row>
    <row r="6" spans="1:14" x14ac:dyDescent="0.25">
      <c r="A6" s="118"/>
      <c r="B6" s="99"/>
      <c r="C6" s="100"/>
      <c r="D6" s="100"/>
      <c r="E6" s="100"/>
      <c r="F6" s="100"/>
      <c r="G6" s="100"/>
      <c r="H6" s="101"/>
      <c r="I6" s="102"/>
      <c r="J6" s="101"/>
      <c r="K6" s="100"/>
      <c r="L6" s="119"/>
      <c r="M6" s="120"/>
      <c r="N6" s="100"/>
    </row>
    <row r="7" spans="1:14" x14ac:dyDescent="0.25">
      <c r="A7" s="112"/>
      <c r="B7" s="113"/>
      <c r="C7" s="114"/>
      <c r="D7" s="114"/>
      <c r="E7" s="114"/>
      <c r="F7" s="114"/>
      <c r="G7" s="114"/>
      <c r="H7" s="117"/>
      <c r="I7" s="116"/>
      <c r="J7" s="117"/>
      <c r="K7" s="114"/>
      <c r="L7" s="121"/>
      <c r="M7" s="115"/>
      <c r="N7" s="114"/>
    </row>
    <row r="8" spans="1:14" x14ac:dyDescent="0.25">
      <c r="A8" s="118"/>
      <c r="B8" s="99"/>
      <c r="C8" s="100"/>
      <c r="D8" s="100"/>
      <c r="E8" s="100"/>
      <c r="F8" s="100"/>
      <c r="G8" s="100"/>
      <c r="H8" s="101"/>
      <c r="I8" s="102"/>
      <c r="J8" s="101"/>
      <c r="K8" s="100"/>
      <c r="L8" s="119"/>
      <c r="M8" s="120"/>
      <c r="N8" s="100"/>
    </row>
    <row r="9" spans="1:14" x14ac:dyDescent="0.25">
      <c r="A9" s="112"/>
      <c r="B9" s="113"/>
      <c r="C9" s="114"/>
      <c r="D9" s="114"/>
      <c r="E9" s="114"/>
      <c r="F9" s="114"/>
      <c r="G9" s="114"/>
      <c r="H9" s="117"/>
      <c r="I9" s="116"/>
      <c r="J9" s="117"/>
      <c r="K9" s="114"/>
      <c r="L9" s="121"/>
      <c r="M9" s="115"/>
      <c r="N9" s="114"/>
    </row>
    <row r="10" spans="1:14" x14ac:dyDescent="0.25">
      <c r="A10" s="118"/>
      <c r="B10" s="99"/>
      <c r="C10" s="100"/>
      <c r="D10" s="100"/>
      <c r="E10" s="100"/>
      <c r="F10" s="100"/>
      <c r="G10" s="100"/>
      <c r="H10" s="101"/>
      <c r="I10" s="102"/>
      <c r="J10" s="120"/>
      <c r="K10" s="100"/>
      <c r="L10" s="100"/>
      <c r="M10" s="120"/>
      <c r="N10" s="100"/>
    </row>
    <row r="11" spans="1:14" x14ac:dyDescent="0.25">
      <c r="A11" s="112"/>
      <c r="B11" s="113"/>
      <c r="C11" s="114"/>
      <c r="D11" s="114"/>
      <c r="E11" s="114"/>
      <c r="F11" s="114"/>
      <c r="G11" s="114"/>
      <c r="H11" s="117"/>
      <c r="I11" s="116"/>
      <c r="J11" s="115"/>
      <c r="K11" s="114"/>
      <c r="L11" s="114"/>
      <c r="M11" s="115"/>
      <c r="N11" s="114"/>
    </row>
    <row r="12" spans="1:14" x14ac:dyDescent="0.25">
      <c r="A12" s="118"/>
      <c r="B12" s="99"/>
      <c r="C12" s="100"/>
      <c r="D12" s="100"/>
      <c r="E12" s="100"/>
      <c r="F12" s="100"/>
      <c r="G12" s="100"/>
      <c r="H12" s="101"/>
      <c r="I12" s="102"/>
      <c r="J12" s="101"/>
      <c r="K12" s="100"/>
      <c r="L12" s="119"/>
      <c r="M12" s="120"/>
      <c r="N12" s="100"/>
    </row>
    <row r="13" spans="1:14" x14ac:dyDescent="0.25">
      <c r="A13" s="112"/>
      <c r="B13" s="113"/>
      <c r="C13" s="114"/>
      <c r="D13" s="114"/>
      <c r="E13" s="114"/>
      <c r="F13" s="114"/>
      <c r="G13" s="114"/>
      <c r="H13" s="117"/>
      <c r="I13" s="116"/>
      <c r="J13" s="117"/>
      <c r="K13" s="114"/>
      <c r="L13" s="121"/>
      <c r="M13" s="115"/>
      <c r="N13" s="114"/>
    </row>
    <row r="14" spans="1:14" x14ac:dyDescent="0.25">
      <c r="A14" s="118"/>
      <c r="B14" s="99"/>
      <c r="C14" s="100"/>
      <c r="D14" s="100"/>
      <c r="E14" s="100"/>
      <c r="F14" s="100"/>
      <c r="G14" s="100"/>
      <c r="H14" s="101"/>
      <c r="I14" s="102"/>
      <c r="J14" s="101"/>
      <c r="K14" s="100"/>
      <c r="L14" s="119"/>
      <c r="M14" s="120"/>
      <c r="N14" s="100"/>
    </row>
    <row r="15" spans="1:14" x14ac:dyDescent="0.25">
      <c r="A15" s="112"/>
      <c r="B15" s="113"/>
      <c r="C15" s="114"/>
      <c r="D15" s="114"/>
      <c r="E15" s="114"/>
      <c r="F15" s="114"/>
      <c r="G15" s="114"/>
      <c r="H15" s="117"/>
      <c r="I15" s="116"/>
      <c r="J15" s="117"/>
      <c r="K15" s="114"/>
      <c r="L15" s="121"/>
      <c r="M15" s="115"/>
      <c r="N15" s="114"/>
    </row>
    <row r="16" spans="1:14" x14ac:dyDescent="0.25">
      <c r="A16" s="118"/>
      <c r="B16" s="99"/>
      <c r="C16" s="100"/>
      <c r="D16" s="100"/>
      <c r="E16" s="100"/>
      <c r="F16" s="100"/>
      <c r="G16" s="100"/>
      <c r="H16" s="101"/>
      <c r="I16" s="102"/>
      <c r="J16" s="101"/>
      <c r="K16" s="100"/>
      <c r="L16" s="119"/>
      <c r="M16" s="120"/>
      <c r="N16" s="100"/>
    </row>
    <row r="17" spans="1:14" x14ac:dyDescent="0.25">
      <c r="A17" s="112"/>
      <c r="B17" s="113"/>
      <c r="C17" s="114"/>
      <c r="D17" s="114"/>
      <c r="E17" s="114"/>
      <c r="F17" s="114"/>
      <c r="G17" s="114"/>
      <c r="H17" s="117"/>
      <c r="I17" s="116"/>
      <c r="J17" s="117"/>
      <c r="K17" s="114"/>
      <c r="L17" s="121"/>
      <c r="M17" s="115"/>
      <c r="N17" s="114"/>
    </row>
    <row r="18" spans="1:14" x14ac:dyDescent="0.25">
      <c r="A18" s="118"/>
      <c r="B18" s="99"/>
      <c r="C18" s="100"/>
      <c r="D18" s="100"/>
      <c r="E18" s="100"/>
      <c r="F18" s="100"/>
      <c r="G18" s="100"/>
      <c r="H18" s="101"/>
      <c r="I18" s="102"/>
      <c r="J18" s="101"/>
      <c r="K18" s="100"/>
      <c r="L18" s="119"/>
      <c r="M18" s="120"/>
      <c r="N18" s="100"/>
    </row>
    <row r="19" spans="1:14" x14ac:dyDescent="0.25">
      <c r="A19" s="112"/>
      <c r="B19" s="113"/>
      <c r="C19" s="114"/>
      <c r="D19" s="114"/>
      <c r="E19" s="114"/>
      <c r="F19" s="114"/>
      <c r="G19" s="114"/>
      <c r="H19" s="117"/>
      <c r="I19" s="116"/>
      <c r="J19" s="117"/>
      <c r="K19" s="114"/>
      <c r="L19" s="121"/>
      <c r="M19" s="115"/>
      <c r="N19" s="114"/>
    </row>
    <row r="20" spans="1:14" x14ac:dyDescent="0.25">
      <c r="A20" s="118"/>
      <c r="B20" s="99"/>
      <c r="C20" s="100"/>
      <c r="D20" s="100"/>
      <c r="E20" s="100"/>
      <c r="F20" s="100"/>
      <c r="G20" s="100"/>
      <c r="H20" s="101"/>
      <c r="I20" s="102"/>
      <c r="J20" s="101"/>
      <c r="K20" s="100"/>
      <c r="L20" s="119"/>
      <c r="M20" s="120"/>
      <c r="N20" s="100"/>
    </row>
    <row r="21" spans="1:14" x14ac:dyDescent="0.25">
      <c r="A21" s="112"/>
      <c r="B21" s="113"/>
      <c r="C21" s="114"/>
      <c r="D21" s="114"/>
      <c r="E21" s="114"/>
      <c r="F21" s="114"/>
      <c r="G21" s="114"/>
      <c r="H21" s="117"/>
      <c r="I21" s="116"/>
      <c r="J21" s="117"/>
      <c r="K21" s="114"/>
      <c r="L21" s="121"/>
      <c r="M21" s="115"/>
      <c r="N21" s="114"/>
    </row>
    <row r="22" spans="1:14" x14ac:dyDescent="0.25">
      <c r="A22" s="118"/>
      <c r="B22" s="99"/>
      <c r="C22" s="100"/>
      <c r="D22" s="100"/>
      <c r="E22" s="100"/>
      <c r="F22" s="100"/>
      <c r="G22" s="100"/>
      <c r="H22" s="101"/>
      <c r="I22" s="102"/>
      <c r="J22" s="101"/>
      <c r="K22" s="100"/>
      <c r="L22" s="100"/>
      <c r="M22" s="120"/>
      <c r="N22" s="100"/>
    </row>
    <row r="23" spans="1:14" x14ac:dyDescent="0.25">
      <c r="A23" s="112"/>
      <c r="B23" s="113"/>
      <c r="C23" s="114"/>
      <c r="D23" s="114"/>
      <c r="E23" s="114"/>
      <c r="F23" s="114"/>
      <c r="G23" s="114"/>
      <c r="H23" s="117"/>
      <c r="I23" s="116"/>
      <c r="J23" s="117"/>
      <c r="K23" s="114"/>
      <c r="L23" s="114"/>
      <c r="M23" s="115"/>
      <c r="N23" s="114"/>
    </row>
    <row r="24" spans="1:14" x14ac:dyDescent="0.25">
      <c r="A24" s="118"/>
      <c r="B24" s="99"/>
      <c r="C24" s="100"/>
      <c r="D24" s="100"/>
      <c r="E24" s="100"/>
      <c r="F24" s="100"/>
      <c r="G24" s="100"/>
      <c r="H24" s="101"/>
      <c r="I24" s="102"/>
      <c r="J24" s="101"/>
      <c r="K24" s="100"/>
      <c r="L24" s="100"/>
      <c r="M24" s="101"/>
      <c r="N24" s="100"/>
    </row>
    <row r="25" spans="1:14" x14ac:dyDescent="0.25">
      <c r="A25" s="112"/>
      <c r="B25" s="113"/>
      <c r="C25" s="114"/>
      <c r="D25" s="114"/>
      <c r="E25" s="114"/>
      <c r="F25" s="114"/>
      <c r="G25" s="114"/>
      <c r="H25" s="117"/>
      <c r="I25" s="116"/>
      <c r="J25" s="117"/>
      <c r="K25" s="114"/>
      <c r="L25" s="114"/>
      <c r="M25" s="117"/>
      <c r="N25" s="114"/>
    </row>
    <row r="26" spans="1:14" x14ac:dyDescent="0.25">
      <c r="A26" s="118"/>
      <c r="B26" s="99"/>
      <c r="C26" s="100"/>
      <c r="D26" s="100"/>
      <c r="E26" s="100"/>
      <c r="F26" s="100"/>
      <c r="G26" s="100"/>
      <c r="H26" s="101"/>
      <c r="I26" s="102"/>
      <c r="J26" s="101"/>
      <c r="K26" s="100"/>
      <c r="L26" s="100"/>
      <c r="M26" s="120"/>
      <c r="N26" s="100"/>
    </row>
    <row r="27" spans="1:14" x14ac:dyDescent="0.25">
      <c r="A27" s="112"/>
      <c r="B27" s="113"/>
      <c r="C27" s="114"/>
      <c r="D27" s="114"/>
      <c r="E27" s="114"/>
      <c r="F27" s="114"/>
      <c r="G27" s="114"/>
      <c r="H27" s="117"/>
      <c r="I27" s="116"/>
      <c r="J27" s="117"/>
      <c r="K27" s="114"/>
      <c r="L27" s="114"/>
      <c r="M27" s="115"/>
      <c r="N27" s="114"/>
    </row>
    <row r="28" spans="1:14" x14ac:dyDescent="0.25">
      <c r="A28" s="118"/>
      <c r="B28" s="99"/>
      <c r="C28" s="100"/>
      <c r="D28" s="100"/>
      <c r="E28" s="100"/>
      <c r="F28" s="100"/>
      <c r="G28" s="100"/>
      <c r="H28" s="101"/>
      <c r="I28" s="102"/>
      <c r="J28" s="101"/>
      <c r="K28" s="100"/>
      <c r="L28" s="119"/>
      <c r="M28" s="120"/>
      <c r="N28" s="100"/>
    </row>
    <row r="29" spans="1:14" x14ac:dyDescent="0.25">
      <c r="A29" s="112"/>
      <c r="B29" s="113"/>
      <c r="C29" s="114"/>
      <c r="D29" s="114"/>
      <c r="E29" s="114"/>
      <c r="F29" s="114"/>
      <c r="G29" s="114"/>
      <c r="H29" s="117"/>
      <c r="I29" s="116"/>
      <c r="J29" s="117"/>
      <c r="K29" s="114"/>
      <c r="L29" s="121"/>
      <c r="M29" s="115"/>
      <c r="N29" s="114"/>
    </row>
    <row r="30" spans="1:14" x14ac:dyDescent="0.25">
      <c r="A30" s="118"/>
      <c r="B30" s="99"/>
      <c r="C30" s="100"/>
      <c r="D30" s="100"/>
      <c r="E30" s="100"/>
      <c r="F30" s="100"/>
      <c r="G30" s="100"/>
      <c r="H30" s="101"/>
      <c r="I30" s="102"/>
      <c r="J30" s="101"/>
      <c r="K30" s="100"/>
      <c r="L30" s="119"/>
      <c r="M30" s="101"/>
      <c r="N30" s="100"/>
    </row>
    <row r="31" spans="1:14" x14ac:dyDescent="0.25">
      <c r="A31" s="112"/>
      <c r="B31" s="113"/>
      <c r="C31" s="114"/>
      <c r="D31" s="114"/>
      <c r="E31" s="114"/>
      <c r="F31" s="114"/>
      <c r="G31" s="114"/>
      <c r="H31" s="117"/>
      <c r="I31" s="116"/>
      <c r="J31" s="117"/>
      <c r="K31" s="114"/>
      <c r="L31" s="121"/>
      <c r="M31" s="117"/>
      <c r="N31" s="114"/>
    </row>
    <row r="32" spans="1:14" x14ac:dyDescent="0.25">
      <c r="A32" s="118"/>
      <c r="B32" s="99"/>
      <c r="C32" s="100"/>
      <c r="D32" s="100"/>
      <c r="E32" s="100"/>
      <c r="F32" s="100"/>
      <c r="G32" s="100"/>
      <c r="H32" s="101"/>
      <c r="I32" s="102"/>
      <c r="J32" s="101"/>
      <c r="K32" s="100"/>
      <c r="L32" s="119"/>
      <c r="M32" s="101"/>
      <c r="N32" s="100"/>
    </row>
    <row r="33" spans="1:14" x14ac:dyDescent="0.25">
      <c r="A33" s="112"/>
      <c r="B33" s="113"/>
      <c r="C33" s="114"/>
      <c r="D33" s="114"/>
      <c r="E33" s="114"/>
      <c r="F33" s="114"/>
      <c r="G33" s="114"/>
      <c r="H33" s="117"/>
      <c r="I33" s="116"/>
      <c r="J33" s="117"/>
      <c r="K33" s="114"/>
      <c r="L33" s="121"/>
      <c r="M33" s="117"/>
      <c r="N33" s="114"/>
    </row>
    <row r="34" spans="1:14" x14ac:dyDescent="0.25">
      <c r="A34" s="118"/>
      <c r="B34" s="99"/>
      <c r="C34" s="100"/>
      <c r="D34" s="100"/>
      <c r="E34" s="100"/>
      <c r="F34" s="100"/>
      <c r="G34" s="100"/>
      <c r="H34" s="101"/>
      <c r="I34" s="102"/>
      <c r="J34" s="101"/>
      <c r="K34" s="100"/>
      <c r="L34" s="100"/>
      <c r="M34" s="120"/>
      <c r="N34" s="100"/>
    </row>
    <row r="35" spans="1:14" x14ac:dyDescent="0.25">
      <c r="A35" s="112"/>
      <c r="B35" s="113"/>
      <c r="C35" s="114"/>
      <c r="D35" s="114"/>
      <c r="E35" s="114"/>
      <c r="F35" s="114"/>
      <c r="G35" s="114"/>
      <c r="H35" s="117"/>
      <c r="I35" s="116"/>
      <c r="J35" s="117"/>
      <c r="K35" s="114"/>
      <c r="L35" s="114"/>
      <c r="M35" s="115"/>
      <c r="N35" s="114"/>
    </row>
    <row r="36" spans="1:14" x14ac:dyDescent="0.25">
      <c r="A36" s="118"/>
      <c r="B36" s="99"/>
      <c r="C36" s="100"/>
      <c r="D36" s="100"/>
      <c r="E36" s="100"/>
      <c r="F36" s="100"/>
      <c r="G36" s="100"/>
      <c r="H36" s="101"/>
      <c r="I36" s="102"/>
      <c r="J36" s="101"/>
      <c r="K36" s="100"/>
      <c r="L36" s="119"/>
      <c r="M36" s="120"/>
      <c r="N36" s="100"/>
    </row>
    <row r="37" spans="1:14" x14ac:dyDescent="0.25">
      <c r="A37" s="112"/>
      <c r="B37" s="113"/>
      <c r="C37" s="114"/>
      <c r="D37" s="114"/>
      <c r="E37" s="114"/>
      <c r="F37" s="114"/>
      <c r="G37" s="114"/>
      <c r="H37" s="117"/>
      <c r="I37" s="116"/>
      <c r="J37" s="117"/>
      <c r="K37" s="114"/>
      <c r="L37" s="121"/>
      <c r="M37" s="115"/>
      <c r="N37" s="114"/>
    </row>
    <row r="38" spans="1:14" x14ac:dyDescent="0.25">
      <c r="A38" s="118"/>
      <c r="B38" s="99"/>
      <c r="C38" s="100"/>
      <c r="D38" s="100"/>
      <c r="E38" s="100"/>
      <c r="F38" s="100"/>
      <c r="G38" s="100"/>
      <c r="H38" s="101"/>
      <c r="I38" s="102"/>
      <c r="J38" s="101"/>
      <c r="K38" s="100"/>
      <c r="L38" s="100"/>
      <c r="M38" s="101"/>
      <c r="N38" s="100"/>
    </row>
    <row r="39" spans="1:14" x14ac:dyDescent="0.25">
      <c r="A39" s="112"/>
      <c r="B39" s="113"/>
      <c r="C39" s="114"/>
      <c r="D39" s="114"/>
      <c r="E39" s="114"/>
      <c r="F39" s="114"/>
      <c r="G39" s="114"/>
      <c r="H39" s="117"/>
      <c r="I39" s="116"/>
      <c r="J39" s="117"/>
      <c r="K39" s="114"/>
      <c r="L39" s="114"/>
      <c r="M39" s="117"/>
      <c r="N39" s="114"/>
    </row>
    <row r="40" spans="1:14" x14ac:dyDescent="0.25">
      <c r="A40" s="118"/>
      <c r="B40" s="99"/>
      <c r="C40" s="100"/>
      <c r="D40" s="100"/>
      <c r="E40" s="100"/>
      <c r="F40" s="100"/>
      <c r="G40" s="100"/>
      <c r="H40" s="101"/>
      <c r="I40" s="102"/>
      <c r="J40" s="101"/>
      <c r="K40" s="100"/>
      <c r="L40" s="100"/>
      <c r="M40" s="101"/>
      <c r="N40" s="100"/>
    </row>
    <row r="41" spans="1:14" x14ac:dyDescent="0.25">
      <c r="A41" s="112"/>
      <c r="B41" s="113"/>
      <c r="C41" s="114"/>
      <c r="D41" s="114"/>
      <c r="E41" s="114"/>
      <c r="F41" s="114"/>
      <c r="G41" s="114"/>
      <c r="H41" s="117"/>
      <c r="I41" s="116"/>
      <c r="J41" s="117"/>
      <c r="K41" s="114"/>
      <c r="L41" s="114"/>
      <c r="M41" s="117"/>
      <c r="N41" s="114"/>
    </row>
    <row r="42" spans="1:14" x14ac:dyDescent="0.25">
      <c r="A42" s="118"/>
      <c r="B42" s="99"/>
      <c r="C42" s="100"/>
      <c r="D42" s="100"/>
      <c r="E42" s="100"/>
      <c r="F42" s="100"/>
      <c r="G42" s="100"/>
      <c r="H42" s="101"/>
      <c r="I42" s="102"/>
      <c r="J42" s="101"/>
      <c r="K42" s="100"/>
      <c r="L42" s="100"/>
      <c r="M42" s="101"/>
      <c r="N42" s="100"/>
    </row>
    <row r="43" spans="1:14" x14ac:dyDescent="0.25">
      <c r="A43" s="112"/>
      <c r="B43" s="113"/>
      <c r="C43" s="114"/>
      <c r="D43" s="114"/>
      <c r="E43" s="114"/>
      <c r="F43" s="114"/>
      <c r="G43" s="114"/>
      <c r="H43" s="117"/>
      <c r="I43" s="116"/>
      <c r="J43" s="117"/>
      <c r="K43" s="114"/>
      <c r="L43" s="114"/>
      <c r="M43" s="117"/>
      <c r="N43" s="114"/>
    </row>
    <row r="44" spans="1:14" x14ac:dyDescent="0.25">
      <c r="A44" s="118"/>
      <c r="B44" s="99"/>
      <c r="C44" s="100"/>
      <c r="D44" s="100"/>
      <c r="E44" s="100"/>
      <c r="F44" s="100"/>
      <c r="G44" s="100"/>
      <c r="H44" s="101"/>
      <c r="I44" s="102"/>
      <c r="J44" s="120"/>
      <c r="K44" s="100"/>
      <c r="L44" s="100"/>
      <c r="M44" s="101"/>
      <c r="N44" s="100"/>
    </row>
    <row r="45" spans="1:14" x14ac:dyDescent="0.25">
      <c r="A45" s="112"/>
      <c r="B45" s="113"/>
      <c r="C45" s="114"/>
      <c r="D45" s="114"/>
      <c r="E45" s="114"/>
      <c r="F45" s="114"/>
      <c r="G45" s="114"/>
      <c r="H45" s="117"/>
      <c r="I45" s="116"/>
      <c r="J45" s="115"/>
      <c r="K45" s="114"/>
      <c r="L45" s="114"/>
      <c r="M45" s="117"/>
      <c r="N45" s="114"/>
    </row>
    <row r="46" spans="1:14" x14ac:dyDescent="0.25">
      <c r="A46" s="3"/>
      <c r="B46" s="49"/>
    </row>
    <row r="47" spans="1:14" x14ac:dyDescent="0.25">
      <c r="A47" s="3"/>
      <c r="B47" s="49"/>
    </row>
    <row r="48" spans="1:14" x14ac:dyDescent="0.25">
      <c r="A48" s="3"/>
      <c r="B48" s="49"/>
    </row>
    <row r="49" spans="1:2" x14ac:dyDescent="0.25">
      <c r="A49" s="3"/>
      <c r="B49" s="49"/>
    </row>
    <row r="50" spans="1:2" x14ac:dyDescent="0.25">
      <c r="A50" s="3"/>
      <c r="B50" s="49"/>
    </row>
    <row r="51" spans="1:2" x14ac:dyDescent="0.25">
      <c r="A51" s="3"/>
      <c r="B51" s="49"/>
    </row>
    <row r="52" spans="1:2" x14ac:dyDescent="0.25">
      <c r="A52" s="3"/>
      <c r="B52" s="49"/>
    </row>
    <row r="53" spans="1:2" x14ac:dyDescent="0.25">
      <c r="A53" s="3"/>
      <c r="B53" s="49"/>
    </row>
    <row r="54" spans="1:2" x14ac:dyDescent="0.25">
      <c r="A54" s="3"/>
      <c r="B54" s="49"/>
    </row>
    <row r="55" spans="1:2" x14ac:dyDescent="0.25">
      <c r="A55" s="3"/>
      <c r="B55" s="49"/>
    </row>
    <row r="56" spans="1:2" x14ac:dyDescent="0.25">
      <c r="A56" s="3"/>
      <c r="B56" s="49"/>
    </row>
    <row r="57" spans="1:2" x14ac:dyDescent="0.25">
      <c r="A57" s="3"/>
      <c r="B57" s="49"/>
    </row>
    <row r="58" spans="1:2" x14ac:dyDescent="0.25">
      <c r="A58" s="3"/>
      <c r="B58" s="49"/>
    </row>
    <row r="59" spans="1:2" x14ac:dyDescent="0.25">
      <c r="A59" s="3"/>
      <c r="B59" s="49"/>
    </row>
    <row r="60" spans="1:2" x14ac:dyDescent="0.25">
      <c r="A60" s="3"/>
      <c r="B60" s="49"/>
    </row>
    <row r="61" spans="1:2" x14ac:dyDescent="0.25">
      <c r="A61" s="3"/>
      <c r="B61" s="49"/>
    </row>
    <row r="62" spans="1:2" x14ac:dyDescent="0.25">
      <c r="A62" s="3"/>
      <c r="B62" s="49"/>
    </row>
    <row r="63" spans="1:2" x14ac:dyDescent="0.25">
      <c r="A63" s="3"/>
      <c r="B63" s="49"/>
    </row>
    <row r="64" spans="1:2" x14ac:dyDescent="0.25">
      <c r="A64" s="3"/>
      <c r="B64" s="49"/>
    </row>
    <row r="65" spans="1:13" x14ac:dyDescent="0.25">
      <c r="A65" s="3"/>
      <c r="B65" s="49"/>
    </row>
    <row r="66" spans="1:13" x14ac:dyDescent="0.25">
      <c r="A66" s="3"/>
      <c r="B66" s="49"/>
    </row>
    <row r="67" spans="1:13" x14ac:dyDescent="0.25">
      <c r="A67" s="3"/>
      <c r="B67" s="49"/>
    </row>
    <row r="68" spans="1:13" x14ac:dyDescent="0.25">
      <c r="A68" s="3"/>
      <c r="B68" s="49"/>
    </row>
    <row r="69" spans="1:13" x14ac:dyDescent="0.25">
      <c r="A69" s="3"/>
      <c r="B69" s="49"/>
    </row>
    <row r="70" spans="1:13" x14ac:dyDescent="0.25">
      <c r="A70" s="3"/>
      <c r="B70" s="49"/>
    </row>
    <row r="71" spans="1:13" x14ac:dyDescent="0.25">
      <c r="A71" s="3"/>
      <c r="B71" s="49"/>
    </row>
    <row r="72" spans="1:13" x14ac:dyDescent="0.25">
      <c r="A72" s="3"/>
      <c r="B72" s="49"/>
    </row>
    <row r="73" spans="1:13" x14ac:dyDescent="0.25">
      <c r="A73" s="3"/>
      <c r="B73" s="49"/>
    </row>
    <row r="74" spans="1:13" x14ac:dyDescent="0.25">
      <c r="A74" s="3"/>
      <c r="B74" s="49"/>
    </row>
    <row r="75" spans="1:13" x14ac:dyDescent="0.25">
      <c r="A75" s="3"/>
      <c r="B75" s="49"/>
    </row>
    <row r="76" spans="1:13" x14ac:dyDescent="0.25">
      <c r="A76" s="3"/>
      <c r="B76" s="49"/>
    </row>
    <row r="77" spans="1:13" x14ac:dyDescent="0.25">
      <c r="A77" s="3"/>
      <c r="B77" s="49"/>
      <c r="H77" s="12"/>
      <c r="I77" s="3"/>
      <c r="J77" s="12"/>
      <c r="M77" s="12"/>
    </row>
    <row r="78" spans="1:13" x14ac:dyDescent="0.25">
      <c r="A78" s="3"/>
      <c r="B78" s="49"/>
      <c r="H78" s="12"/>
      <c r="I78" s="3"/>
      <c r="J78" s="12"/>
      <c r="M78" s="12"/>
    </row>
    <row r="79" spans="1:13" x14ac:dyDescent="0.25">
      <c r="A79" s="3"/>
      <c r="B79" s="49"/>
      <c r="H79" s="12"/>
      <c r="I79" s="3"/>
      <c r="J79" s="12"/>
      <c r="M79" s="12"/>
    </row>
    <row r="80" spans="1:13" x14ac:dyDescent="0.25">
      <c r="A80" s="3"/>
      <c r="B80" s="49"/>
      <c r="H80" s="12"/>
      <c r="I80" s="3"/>
      <c r="J80" s="12"/>
      <c r="M80" s="12"/>
    </row>
    <row r="81" spans="1:13" x14ac:dyDescent="0.25">
      <c r="A81" s="3"/>
      <c r="B81" s="49"/>
      <c r="H81" s="12"/>
      <c r="I81" s="3"/>
      <c r="J81" s="12"/>
      <c r="M81" s="12"/>
    </row>
    <row r="82" spans="1:13" x14ac:dyDescent="0.25">
      <c r="A82" s="3"/>
      <c r="B82" s="49"/>
      <c r="H82" s="12"/>
      <c r="I82" s="3"/>
      <c r="J82" s="12"/>
      <c r="M82" s="12"/>
    </row>
    <row r="83" spans="1:13" x14ac:dyDescent="0.25">
      <c r="A83" s="3"/>
      <c r="B83" s="49"/>
      <c r="H83" s="12"/>
      <c r="I83" s="3"/>
      <c r="J83" s="12"/>
      <c r="M83" s="12"/>
    </row>
    <row r="84" spans="1:13" x14ac:dyDescent="0.25">
      <c r="A84" s="3"/>
      <c r="B84" s="49"/>
    </row>
    <row r="85" spans="1:13" x14ac:dyDescent="0.25">
      <c r="A85" s="3"/>
      <c r="B85" s="49"/>
      <c r="H85" s="12"/>
      <c r="I85" s="3"/>
      <c r="J85" s="12"/>
      <c r="M85" s="12"/>
    </row>
    <row r="86" spans="1:13" x14ac:dyDescent="0.25">
      <c r="A86" s="3"/>
      <c r="B86" s="49"/>
      <c r="H86" s="12"/>
      <c r="I86" s="3"/>
      <c r="J86" s="12"/>
      <c r="M86" s="12"/>
    </row>
    <row r="87" spans="1:13" x14ac:dyDescent="0.25">
      <c r="A87" s="3"/>
      <c r="B87" s="49"/>
    </row>
    <row r="88" spans="1:13" x14ac:dyDescent="0.25">
      <c r="A88" s="3"/>
      <c r="B88" s="49"/>
      <c r="H88" s="12"/>
      <c r="I88" s="3"/>
      <c r="J88" s="12"/>
      <c r="M88" s="12"/>
    </row>
    <row r="89" spans="1:13" x14ac:dyDescent="0.25">
      <c r="A89" s="3"/>
      <c r="B89" s="49"/>
      <c r="H89" s="12"/>
      <c r="I89" s="3"/>
      <c r="J89" s="12"/>
      <c r="M89" s="12"/>
    </row>
    <row r="90" spans="1:13" x14ac:dyDescent="0.25">
      <c r="A90" s="3"/>
      <c r="B90" s="49"/>
      <c r="H90" s="12"/>
      <c r="I90" s="3"/>
      <c r="J90" s="12"/>
      <c r="M90" s="12"/>
    </row>
    <row r="91" spans="1:13" x14ac:dyDescent="0.25">
      <c r="A91" s="3"/>
      <c r="B91" s="49"/>
      <c r="H91" s="12"/>
      <c r="I91" s="3"/>
      <c r="J91" s="12"/>
      <c r="M91" s="12"/>
    </row>
    <row r="92" spans="1:13" x14ac:dyDescent="0.25">
      <c r="A92" s="3"/>
      <c r="B92" s="49"/>
    </row>
    <row r="93" spans="1:13" x14ac:dyDescent="0.25">
      <c r="A93" s="3"/>
      <c r="B93" s="49"/>
      <c r="H93" s="12"/>
      <c r="I93" s="3"/>
      <c r="J93" s="12"/>
      <c r="M93" s="12"/>
    </row>
    <row r="94" spans="1:13" x14ac:dyDescent="0.25">
      <c r="A94" s="3"/>
      <c r="B94" s="49"/>
    </row>
    <row r="95" spans="1:13" x14ac:dyDescent="0.25">
      <c r="A95" s="3"/>
      <c r="B95" s="49"/>
      <c r="H95" s="12"/>
      <c r="I95" s="3"/>
      <c r="J95" s="12"/>
      <c r="M95" s="12"/>
    </row>
    <row r="96" spans="1:13" x14ac:dyDescent="0.25">
      <c r="A96" s="3"/>
      <c r="B96" s="49"/>
      <c r="H96" s="12"/>
      <c r="I96" s="3"/>
      <c r="J96" s="12"/>
      <c r="M96" s="12"/>
    </row>
    <row r="97" spans="1:13" x14ac:dyDescent="0.25">
      <c r="A97" s="3"/>
      <c r="B97" s="49"/>
      <c r="H97" s="12"/>
      <c r="I97" s="3"/>
      <c r="J97" s="12"/>
      <c r="M97" s="12"/>
    </row>
    <row r="98" spans="1:13" x14ac:dyDescent="0.25">
      <c r="A98" s="3"/>
      <c r="B98" s="49"/>
    </row>
    <row r="99" spans="1:13" x14ac:dyDescent="0.25">
      <c r="A99" s="3"/>
      <c r="B99" s="49"/>
      <c r="H99" s="12"/>
      <c r="I99" s="3"/>
      <c r="J99" s="12"/>
      <c r="M99" s="12"/>
    </row>
    <row r="100" spans="1:13" x14ac:dyDescent="0.25">
      <c r="A100" s="3"/>
      <c r="B100" s="49"/>
      <c r="H100" s="12"/>
      <c r="I100" s="3"/>
      <c r="J100" s="12"/>
      <c r="M100" s="12"/>
    </row>
    <row r="101" spans="1:13" x14ac:dyDescent="0.25">
      <c r="A101" s="3"/>
      <c r="B101" s="49"/>
    </row>
    <row r="102" spans="1:13" x14ac:dyDescent="0.25">
      <c r="A102" s="3"/>
      <c r="B102" s="49"/>
      <c r="H102" s="12"/>
      <c r="I102" s="3"/>
      <c r="J102" s="12"/>
      <c r="M102" s="12"/>
    </row>
    <row r="103" spans="1:13" x14ac:dyDescent="0.25">
      <c r="A103" s="3"/>
      <c r="B103" s="49"/>
      <c r="H103" s="12"/>
      <c r="I103" s="3"/>
      <c r="J103" s="12"/>
      <c r="M103" s="12"/>
    </row>
    <row r="104" spans="1:13" x14ac:dyDescent="0.25">
      <c r="A104" s="3"/>
      <c r="B104" s="49"/>
    </row>
    <row r="105" spans="1:13" x14ac:dyDescent="0.25">
      <c r="A105" s="3"/>
      <c r="B105" s="49"/>
    </row>
    <row r="106" spans="1:13" x14ac:dyDescent="0.25">
      <c r="A106" s="3"/>
      <c r="B106" s="49"/>
    </row>
    <row r="107" spans="1:13" x14ac:dyDescent="0.25">
      <c r="A107" s="3"/>
      <c r="B107" s="49"/>
    </row>
    <row r="108" spans="1:13" x14ac:dyDescent="0.25">
      <c r="A108" s="3"/>
      <c r="B108" s="49"/>
    </row>
    <row r="109" spans="1:13" x14ac:dyDescent="0.25">
      <c r="A109" s="3"/>
      <c r="B109" s="49"/>
      <c r="H109" s="12"/>
      <c r="I109" s="3"/>
      <c r="J109" s="12"/>
      <c r="M109" s="12"/>
    </row>
    <row r="110" spans="1:13" x14ac:dyDescent="0.25">
      <c r="A110" s="3"/>
      <c r="B110" s="49"/>
      <c r="H110" s="12"/>
      <c r="I110" s="3"/>
      <c r="J110" s="12"/>
      <c r="M110" s="12"/>
    </row>
    <row r="111" spans="1:13" x14ac:dyDescent="0.25">
      <c r="A111" s="3"/>
      <c r="B111" s="49"/>
      <c r="H111" s="12"/>
      <c r="I111" s="3"/>
      <c r="J111" s="12"/>
      <c r="M111" s="12"/>
    </row>
    <row r="112" spans="1:13" x14ac:dyDescent="0.25">
      <c r="A112" s="3"/>
      <c r="B112" s="49"/>
      <c r="H112" s="12"/>
      <c r="I112" s="3"/>
      <c r="J112" s="12"/>
      <c r="M112" s="12"/>
    </row>
    <row r="113" spans="1:13" x14ac:dyDescent="0.25">
      <c r="A113" s="3"/>
      <c r="B113" s="49"/>
      <c r="H113" s="12"/>
      <c r="I113" s="3"/>
      <c r="J113" s="12"/>
      <c r="M113" s="12"/>
    </row>
    <row r="114" spans="1:13" x14ac:dyDescent="0.25">
      <c r="A114" s="3"/>
      <c r="B114" s="49"/>
      <c r="H114" s="12"/>
      <c r="I114" s="3"/>
      <c r="J114" s="12"/>
      <c r="M114" s="12"/>
    </row>
    <row r="115" spans="1:13" x14ac:dyDescent="0.25">
      <c r="A115" s="3"/>
      <c r="B115" s="49"/>
      <c r="H115" s="12"/>
      <c r="I115" s="3"/>
      <c r="J115" s="12"/>
      <c r="M115" s="12"/>
    </row>
    <row r="116" spans="1:13" x14ac:dyDescent="0.25">
      <c r="A116" s="3"/>
      <c r="B116" s="49"/>
      <c r="H116" s="12"/>
      <c r="I116" s="3"/>
      <c r="J116" s="12"/>
      <c r="M116" s="12"/>
    </row>
    <row r="117" spans="1:13" x14ac:dyDescent="0.25">
      <c r="A117" s="3"/>
      <c r="B117" s="49"/>
      <c r="H117" s="12"/>
      <c r="I117" s="3"/>
      <c r="J117" s="12"/>
      <c r="M117" s="12"/>
    </row>
    <row r="118" spans="1:13" x14ac:dyDescent="0.25">
      <c r="A118" s="3"/>
      <c r="B118" s="49"/>
      <c r="H118" s="12"/>
      <c r="I118" s="3"/>
      <c r="J118" s="12"/>
      <c r="M118" s="12"/>
    </row>
    <row r="119" spans="1:13" x14ac:dyDescent="0.25">
      <c r="A119" s="3"/>
      <c r="B119" s="49"/>
      <c r="H119" s="12"/>
      <c r="I119" s="3"/>
      <c r="J119" s="12"/>
      <c r="M119" s="12"/>
    </row>
    <row r="120" spans="1:13" x14ac:dyDescent="0.25">
      <c r="A120" s="3"/>
      <c r="B120" s="49"/>
      <c r="H120" s="12"/>
      <c r="I120" s="3"/>
      <c r="J120" s="12"/>
      <c r="M120" s="12"/>
    </row>
    <row r="121" spans="1:13" x14ac:dyDescent="0.25">
      <c r="A121" s="3"/>
      <c r="B121" s="49"/>
      <c r="H121" s="12"/>
      <c r="I121" s="3"/>
      <c r="J121" s="12"/>
      <c r="M121" s="12"/>
    </row>
    <row r="122" spans="1:13" x14ac:dyDescent="0.25">
      <c r="A122" s="3"/>
      <c r="B122" s="49"/>
      <c r="H122" s="12"/>
      <c r="I122" s="3"/>
      <c r="J122" s="12"/>
      <c r="M122" s="12"/>
    </row>
    <row r="123" spans="1:13" x14ac:dyDescent="0.25">
      <c r="A123" s="3"/>
      <c r="B123" s="49"/>
      <c r="H123" s="12"/>
      <c r="I123" s="3"/>
      <c r="J123" s="12"/>
      <c r="M123" s="12"/>
    </row>
    <row r="124" spans="1:13" x14ac:dyDescent="0.25">
      <c r="A124" s="3"/>
      <c r="B124" s="49"/>
      <c r="H124" s="12"/>
      <c r="I124" s="3"/>
      <c r="J124" s="12"/>
      <c r="M124" s="12"/>
    </row>
    <row r="125" spans="1:13" x14ac:dyDescent="0.25">
      <c r="A125" s="3"/>
      <c r="B125" s="49"/>
      <c r="H125" s="12"/>
      <c r="I125" s="3"/>
      <c r="J125" s="12"/>
      <c r="M125" s="12"/>
    </row>
    <row r="126" spans="1:13" x14ac:dyDescent="0.25">
      <c r="A126" s="3"/>
      <c r="B126" s="49"/>
      <c r="H126" s="12"/>
      <c r="I126" s="3"/>
      <c r="J126" s="12"/>
      <c r="M126" s="12"/>
    </row>
    <row r="127" spans="1:13" x14ac:dyDescent="0.25">
      <c r="A127" s="3"/>
      <c r="B127" s="49"/>
      <c r="H127" s="12"/>
      <c r="I127" s="3"/>
      <c r="J127" s="12"/>
      <c r="M127" s="12"/>
    </row>
    <row r="128" spans="1:13" x14ac:dyDescent="0.25">
      <c r="A128" s="3"/>
      <c r="B128" s="49"/>
      <c r="H128" s="12"/>
      <c r="I128" s="3"/>
      <c r="J128" s="12"/>
      <c r="M128" s="12"/>
    </row>
    <row r="129" spans="1:13" x14ac:dyDescent="0.25">
      <c r="A129" s="3"/>
      <c r="B129" s="49"/>
      <c r="H129" s="12"/>
      <c r="I129" s="3"/>
      <c r="J129" s="12"/>
      <c r="M129" s="12"/>
    </row>
    <row r="130" spans="1:13" x14ac:dyDescent="0.25">
      <c r="A130" s="3"/>
      <c r="B130" s="49"/>
      <c r="H130" s="12"/>
      <c r="I130" s="3"/>
      <c r="J130" s="12"/>
      <c r="M130" s="12"/>
    </row>
    <row r="131" spans="1:13" x14ac:dyDescent="0.25">
      <c r="A131" s="3"/>
      <c r="B131" s="49"/>
      <c r="H131" s="12"/>
      <c r="I131" s="3"/>
      <c r="J131" s="12"/>
      <c r="M131" s="12"/>
    </row>
    <row r="132" spans="1:13" x14ac:dyDescent="0.25">
      <c r="A132" s="3"/>
      <c r="B132" s="49"/>
    </row>
    <row r="133" spans="1:13" x14ac:dyDescent="0.25">
      <c r="A133" s="3"/>
      <c r="B133" s="49"/>
    </row>
    <row r="134" spans="1:13" x14ac:dyDescent="0.25">
      <c r="A134" s="3"/>
      <c r="B134" s="49"/>
    </row>
    <row r="135" spans="1:13" x14ac:dyDescent="0.25">
      <c r="A135" s="3"/>
      <c r="B135" s="49"/>
    </row>
    <row r="136" spans="1:13" x14ac:dyDescent="0.25">
      <c r="A136" s="3"/>
      <c r="B136" s="49"/>
      <c r="H136" s="12"/>
      <c r="I136" s="3"/>
      <c r="J136" s="12"/>
      <c r="M136" s="12"/>
    </row>
    <row r="137" spans="1:13" x14ac:dyDescent="0.25">
      <c r="A137" s="3"/>
      <c r="B137" s="49"/>
      <c r="H137" s="12"/>
      <c r="I137" s="3"/>
      <c r="J137" s="12"/>
      <c r="M137" s="12"/>
    </row>
    <row r="138" spans="1:13" x14ac:dyDescent="0.25">
      <c r="A138" s="3"/>
      <c r="B138" s="49"/>
      <c r="H138" s="12"/>
      <c r="I138" s="3"/>
      <c r="J138" s="12"/>
      <c r="M138" s="12"/>
    </row>
    <row r="139" spans="1:13" x14ac:dyDescent="0.25">
      <c r="A139" s="3"/>
      <c r="B139" s="49"/>
      <c r="H139" s="12"/>
      <c r="I139" s="3"/>
      <c r="J139" s="12"/>
      <c r="M139" s="12"/>
    </row>
    <row r="140" spans="1:13" x14ac:dyDescent="0.25">
      <c r="A140" s="3"/>
      <c r="B140" s="49"/>
      <c r="H140" s="12"/>
      <c r="I140" s="3"/>
      <c r="J140" s="12"/>
      <c r="M140" s="12"/>
    </row>
    <row r="141" spans="1:13" x14ac:dyDescent="0.25">
      <c r="A141" s="3"/>
      <c r="B141" s="49"/>
      <c r="H141" s="12"/>
      <c r="I141" s="3"/>
      <c r="J141" s="12"/>
      <c r="M141" s="12"/>
    </row>
    <row r="142" spans="1:13" x14ac:dyDescent="0.25">
      <c r="A142" s="3"/>
      <c r="B142" s="49"/>
      <c r="H142" s="12"/>
      <c r="I142" s="3"/>
      <c r="J142" s="12"/>
      <c r="M142" s="12"/>
    </row>
    <row r="143" spans="1:13" x14ac:dyDescent="0.25">
      <c r="A143" s="3"/>
      <c r="B143" s="49"/>
      <c r="H143" s="12"/>
      <c r="I143" s="3"/>
      <c r="J143" s="12"/>
      <c r="M143" s="12"/>
    </row>
    <row r="144" spans="1:13" x14ac:dyDescent="0.25">
      <c r="A144" s="3"/>
      <c r="B144" s="49"/>
      <c r="H144" s="12"/>
      <c r="I144" s="3"/>
      <c r="J144" s="12"/>
      <c r="M144" s="12"/>
    </row>
    <row r="145" spans="1:13" x14ac:dyDescent="0.25">
      <c r="A145" s="3"/>
      <c r="B145" s="49"/>
      <c r="H145" s="12"/>
      <c r="I145" s="3"/>
      <c r="J145" s="12"/>
      <c r="M145" s="12"/>
    </row>
    <row r="146" spans="1:13" x14ac:dyDescent="0.25">
      <c r="A146" s="3"/>
      <c r="B146" s="49"/>
      <c r="H146" s="12"/>
      <c r="I146" s="3"/>
      <c r="J146" s="12"/>
      <c r="M146" s="12"/>
    </row>
    <row r="147" spans="1:13" x14ac:dyDescent="0.25">
      <c r="A147" s="3"/>
      <c r="B147" s="49"/>
      <c r="H147" s="12"/>
      <c r="I147" s="3"/>
      <c r="J147" s="12"/>
      <c r="M147" s="12"/>
    </row>
    <row r="148" spans="1:13" x14ac:dyDescent="0.25">
      <c r="A148" s="3"/>
      <c r="B148" s="49"/>
      <c r="H148" s="12"/>
      <c r="I148" s="3"/>
      <c r="J148" s="12"/>
      <c r="M148" s="12"/>
    </row>
    <row r="149" spans="1:13" x14ac:dyDescent="0.25">
      <c r="A149" s="3"/>
      <c r="B149" s="49"/>
      <c r="H149" s="12"/>
      <c r="I149" s="3"/>
      <c r="J149" s="12"/>
      <c r="M149" s="12"/>
    </row>
    <row r="150" spans="1:13" x14ac:dyDescent="0.25">
      <c r="A150" s="3"/>
      <c r="B150" s="49"/>
      <c r="H150" s="12"/>
      <c r="I150" s="3"/>
      <c r="J150" s="12"/>
      <c r="M150" s="12"/>
    </row>
    <row r="151" spans="1:13" x14ac:dyDescent="0.25">
      <c r="A151" s="3"/>
      <c r="B151" s="49"/>
      <c r="H151" s="12"/>
      <c r="I151" s="3"/>
      <c r="J151" s="12"/>
      <c r="M151" s="12"/>
    </row>
    <row r="152" spans="1:13" x14ac:dyDescent="0.25">
      <c r="A152" s="3"/>
      <c r="B152" s="49"/>
      <c r="H152" s="12"/>
      <c r="I152" s="3"/>
      <c r="J152" s="12"/>
      <c r="M152" s="12"/>
    </row>
    <row r="153" spans="1:13" x14ac:dyDescent="0.25">
      <c r="A153" s="3"/>
      <c r="B153" s="49"/>
      <c r="H153" s="12"/>
      <c r="I153" s="3"/>
      <c r="J153" s="12"/>
      <c r="M153" s="12"/>
    </row>
    <row r="154" spans="1:13" x14ac:dyDescent="0.25">
      <c r="A154" s="3"/>
      <c r="B154" s="49"/>
      <c r="H154" s="12"/>
      <c r="I154" s="3"/>
      <c r="J154" s="12"/>
      <c r="M154" s="12"/>
    </row>
    <row r="155" spans="1:13" x14ac:dyDescent="0.25">
      <c r="A155" s="3"/>
      <c r="B155" s="49"/>
      <c r="H155" s="12"/>
      <c r="I155" s="3"/>
      <c r="J155" s="12"/>
      <c r="M155" s="12"/>
    </row>
    <row r="156" spans="1:13" x14ac:dyDescent="0.25">
      <c r="A156" s="3"/>
      <c r="B156" s="49"/>
      <c r="H156" s="12"/>
      <c r="I156" s="3"/>
      <c r="J156" s="12"/>
      <c r="M156" s="12"/>
    </row>
    <row r="157" spans="1:13" x14ac:dyDescent="0.25">
      <c r="A157" s="3"/>
      <c r="B157" s="49"/>
      <c r="H157" s="12"/>
      <c r="I157" s="3"/>
      <c r="J157" s="12"/>
      <c r="M157" s="12"/>
    </row>
    <row r="158" spans="1:13" x14ac:dyDescent="0.25">
      <c r="A158" s="3"/>
      <c r="B158" s="49"/>
      <c r="H158" s="12"/>
      <c r="I158" s="3"/>
      <c r="J158" s="12"/>
      <c r="M158" s="12"/>
    </row>
    <row r="159" spans="1:13" x14ac:dyDescent="0.25">
      <c r="A159" s="3"/>
      <c r="B159" s="49"/>
      <c r="H159" s="12"/>
      <c r="I159" s="3"/>
      <c r="J159" s="12"/>
      <c r="M159" s="12"/>
    </row>
    <row r="160" spans="1:13" x14ac:dyDescent="0.25">
      <c r="A160" s="3"/>
      <c r="B160" s="49"/>
      <c r="H160" s="12"/>
      <c r="I160" s="3"/>
      <c r="J160" s="12"/>
      <c r="M160" s="12"/>
    </row>
    <row r="161" spans="1:13" x14ac:dyDescent="0.25">
      <c r="A161" s="3"/>
      <c r="B161" s="49"/>
      <c r="D161" s="12"/>
      <c r="E161" s="12"/>
      <c r="F161" s="12"/>
      <c r="G161" s="12"/>
      <c r="H161" s="12"/>
      <c r="I161" s="3"/>
      <c r="J161" s="12"/>
      <c r="M161" s="12"/>
    </row>
    <row r="162" spans="1:13" x14ac:dyDescent="0.25">
      <c r="A162" s="3"/>
      <c r="B162" s="49"/>
      <c r="D162" s="12"/>
      <c r="E162" s="12"/>
      <c r="F162" s="12"/>
      <c r="G162" s="12"/>
      <c r="H162" s="12"/>
      <c r="I162" s="3"/>
      <c r="J162" s="12"/>
      <c r="M162" s="12"/>
    </row>
    <row r="163" spans="1:13" x14ac:dyDescent="0.25">
      <c r="A163" s="3"/>
      <c r="B163" s="49"/>
      <c r="D163" s="12"/>
      <c r="E163" s="12"/>
      <c r="F163" s="12"/>
      <c r="G163" s="12"/>
      <c r="H163" s="12"/>
      <c r="I163" s="3"/>
      <c r="J163" s="12"/>
      <c r="M163" s="12"/>
    </row>
    <row r="164" spans="1:13" x14ac:dyDescent="0.25">
      <c r="A164" s="3"/>
      <c r="B164" s="49"/>
      <c r="D164" s="12"/>
      <c r="E164" s="12"/>
      <c r="F164" s="12"/>
      <c r="G164" s="12"/>
      <c r="H164" s="12"/>
      <c r="I164" s="3"/>
      <c r="J164" s="12"/>
      <c r="M164" s="12"/>
    </row>
    <row r="165" spans="1:13" x14ac:dyDescent="0.25">
      <c r="A165" s="3"/>
      <c r="B165" s="49"/>
      <c r="D165" s="12"/>
      <c r="E165" s="12"/>
      <c r="F165" s="12"/>
      <c r="G165" s="12"/>
      <c r="H165" s="12"/>
      <c r="I165" s="3"/>
      <c r="J165" s="12"/>
      <c r="M165" s="12"/>
    </row>
    <row r="166" spans="1:13" x14ac:dyDescent="0.25">
      <c r="A166" s="3"/>
      <c r="B166" s="49"/>
      <c r="D166" s="12"/>
      <c r="E166" s="12"/>
      <c r="F166" s="12"/>
      <c r="G166" s="12"/>
      <c r="H166" s="12"/>
      <c r="I166" s="3"/>
      <c r="J166" s="12"/>
      <c r="M166" s="12"/>
    </row>
    <row r="167" spans="1:13" x14ac:dyDescent="0.25">
      <c r="A167" s="3"/>
      <c r="B167" s="49"/>
      <c r="D167" s="12"/>
      <c r="E167" s="12"/>
      <c r="F167" s="12"/>
      <c r="G167" s="12"/>
      <c r="H167" s="12"/>
      <c r="I167" s="3"/>
      <c r="J167" s="12"/>
      <c r="M167" s="12"/>
    </row>
    <row r="168" spans="1:13" x14ac:dyDescent="0.25">
      <c r="A168" s="3"/>
      <c r="B168" s="49"/>
      <c r="D168" s="12"/>
      <c r="E168" s="12"/>
      <c r="F168" s="12"/>
      <c r="G168" s="12"/>
      <c r="H168" s="12"/>
      <c r="I168" s="3"/>
      <c r="J168" s="12"/>
      <c r="M168" s="12"/>
    </row>
    <row r="169" spans="1:13" x14ac:dyDescent="0.25">
      <c r="A169" s="3"/>
      <c r="B169" s="49"/>
      <c r="D169" s="12"/>
      <c r="E169" s="12"/>
      <c r="F169" s="12"/>
      <c r="G169" s="12"/>
      <c r="H169" s="12"/>
      <c r="I169" s="3"/>
      <c r="J169" s="12"/>
      <c r="M169" s="12"/>
    </row>
    <row r="170" spans="1:13" x14ac:dyDescent="0.25">
      <c r="A170" s="3"/>
      <c r="B170" s="49"/>
      <c r="D170" s="12"/>
      <c r="E170" s="12"/>
      <c r="F170" s="12"/>
      <c r="G170" s="12"/>
      <c r="H170" s="12"/>
      <c r="I170" s="3"/>
      <c r="J170" s="12"/>
      <c r="M170" s="12"/>
    </row>
    <row r="171" spans="1:13" x14ac:dyDescent="0.25">
      <c r="A171" s="3"/>
      <c r="B171" s="49"/>
      <c r="D171" s="12"/>
      <c r="E171" s="12"/>
      <c r="F171" s="12"/>
      <c r="G171" s="12"/>
      <c r="H171" s="12"/>
      <c r="I171" s="3"/>
      <c r="J171" s="12"/>
      <c r="M171" s="12"/>
    </row>
    <row r="172" spans="1:13" x14ac:dyDescent="0.25">
      <c r="D172" s="12"/>
      <c r="E172" s="12"/>
      <c r="F172" s="12"/>
      <c r="G172" s="12"/>
      <c r="H172" s="12"/>
      <c r="I172" s="3"/>
      <c r="J172" s="12"/>
      <c r="M172" s="12"/>
    </row>
    <row r="173" spans="1:13" x14ac:dyDescent="0.25">
      <c r="A173" s="3"/>
      <c r="B173" s="49"/>
      <c r="D173" s="12"/>
      <c r="E173" s="12"/>
      <c r="F173" s="12"/>
      <c r="G173" s="12"/>
      <c r="H173" s="12"/>
      <c r="I173" s="3"/>
      <c r="J173" s="12"/>
      <c r="M173" s="12"/>
    </row>
    <row r="174" spans="1:13" x14ac:dyDescent="0.25">
      <c r="A174" s="3"/>
      <c r="B174" s="49"/>
      <c r="D174" s="12"/>
      <c r="E174" s="12"/>
      <c r="F174" s="12"/>
      <c r="G174" s="12"/>
      <c r="H174" s="12"/>
      <c r="I174" s="3"/>
      <c r="J174" s="12"/>
      <c r="M174" s="12"/>
    </row>
    <row r="175" spans="1:13" x14ac:dyDescent="0.25">
      <c r="A175" s="3"/>
      <c r="B175" s="49"/>
      <c r="D175" s="12"/>
      <c r="E175" s="12"/>
      <c r="F175" s="12"/>
      <c r="G175" s="12"/>
      <c r="H175" s="12"/>
      <c r="I175" s="3"/>
      <c r="J175" s="12"/>
      <c r="M175" s="12"/>
    </row>
    <row r="176" spans="1:13" x14ac:dyDescent="0.25">
      <c r="A176" s="3"/>
      <c r="B176" s="49"/>
      <c r="D176" s="12"/>
      <c r="E176" s="12"/>
      <c r="F176" s="12"/>
      <c r="G176" s="12"/>
      <c r="H176" s="12"/>
      <c r="I176" s="3"/>
      <c r="J176" s="12"/>
      <c r="M176" s="12"/>
    </row>
    <row r="177" spans="1:13" x14ac:dyDescent="0.25">
      <c r="A177" s="3"/>
      <c r="B177" s="49"/>
      <c r="D177" s="12"/>
      <c r="E177" s="12"/>
      <c r="F177" s="12"/>
      <c r="G177" s="12"/>
      <c r="H177" s="12"/>
      <c r="I177" s="3"/>
      <c r="J177" s="12"/>
      <c r="M177" s="12"/>
    </row>
    <row r="178" spans="1:13" x14ac:dyDescent="0.25">
      <c r="A178" s="3"/>
      <c r="B178" s="49"/>
      <c r="D178" s="12"/>
      <c r="E178" s="12"/>
      <c r="F178" s="12"/>
      <c r="G178" s="12"/>
      <c r="H178" s="12"/>
      <c r="I178" s="3"/>
      <c r="J178" s="12"/>
      <c r="M178" s="12"/>
    </row>
    <row r="179" spans="1:13" x14ac:dyDescent="0.25">
      <c r="A179" s="3"/>
      <c r="B179" s="49"/>
      <c r="D179" s="12"/>
      <c r="E179" s="12"/>
      <c r="F179" s="12"/>
      <c r="G179" s="12"/>
      <c r="H179" s="12"/>
      <c r="I179" s="3"/>
      <c r="J179" s="12"/>
      <c r="M179" s="12"/>
    </row>
    <row r="186" spans="1:13" x14ac:dyDescent="0.25">
      <c r="A186" s="3"/>
      <c r="B186" s="49"/>
      <c r="D186" s="12"/>
      <c r="E186" s="12"/>
      <c r="F186" s="12"/>
      <c r="G186" s="12"/>
      <c r="H186" s="12"/>
      <c r="I186" s="3"/>
      <c r="J186" s="12"/>
      <c r="M186" s="12"/>
    </row>
    <row r="187" spans="1:13" x14ac:dyDescent="0.25">
      <c r="A187" s="3"/>
      <c r="B187" s="49"/>
      <c r="D187" s="12"/>
      <c r="E187" s="12"/>
      <c r="F187" s="12"/>
      <c r="G187" s="12"/>
      <c r="H187" s="12"/>
      <c r="I187" s="3"/>
      <c r="J187" s="12"/>
      <c r="M187" s="12"/>
    </row>
    <row r="188" spans="1:13" x14ac:dyDescent="0.25">
      <c r="A188" s="3"/>
      <c r="B188" s="49"/>
      <c r="D188" s="12"/>
      <c r="E188" s="12"/>
      <c r="F188" s="12"/>
      <c r="G188" s="12"/>
      <c r="H188" s="12"/>
      <c r="I188" s="3"/>
      <c r="J188" s="12"/>
      <c r="M188" s="12"/>
    </row>
    <row r="189" spans="1:13" x14ac:dyDescent="0.25">
      <c r="A189" s="3"/>
      <c r="B189" s="49"/>
      <c r="D189" s="12"/>
      <c r="E189" s="12"/>
      <c r="F189" s="12"/>
      <c r="G189" s="12"/>
      <c r="H189" s="12"/>
      <c r="I189" s="3"/>
      <c r="J189" s="12"/>
      <c r="M189" s="12"/>
    </row>
    <row r="190" spans="1:13" x14ac:dyDescent="0.25">
      <c r="A190" s="3"/>
      <c r="B190" s="49"/>
      <c r="D190" s="12"/>
      <c r="E190" s="12"/>
      <c r="F190" s="12"/>
      <c r="G190" s="12"/>
      <c r="H190" s="12"/>
      <c r="I190" s="3"/>
      <c r="J190" s="12"/>
      <c r="M190" s="12"/>
    </row>
    <row r="191" spans="1:13" x14ac:dyDescent="0.25">
      <c r="A191" s="3"/>
      <c r="B191" s="49"/>
      <c r="D191" s="12"/>
      <c r="E191" s="12"/>
      <c r="F191" s="12"/>
      <c r="G191" s="12"/>
      <c r="H191" s="12"/>
      <c r="I191" s="3"/>
      <c r="J191" s="12"/>
      <c r="M191" s="12"/>
    </row>
    <row r="192" spans="1:13" x14ac:dyDescent="0.25">
      <c r="A192" s="3"/>
      <c r="B192" s="49"/>
      <c r="D192" s="12"/>
      <c r="E192" s="12"/>
      <c r="F192" s="12"/>
      <c r="G192" s="12"/>
      <c r="H192" s="12"/>
      <c r="I192" s="3"/>
      <c r="J192" s="12"/>
      <c r="M192" s="12"/>
    </row>
    <row r="193" spans="1:13" x14ac:dyDescent="0.25">
      <c r="A193" s="3"/>
      <c r="B193" s="49"/>
      <c r="D193" s="12"/>
      <c r="E193" s="12"/>
      <c r="F193" s="12"/>
      <c r="G193" s="12"/>
      <c r="H193" s="12"/>
      <c r="I193" s="3"/>
      <c r="J193" s="12"/>
      <c r="M193" s="12"/>
    </row>
    <row r="194" spans="1:13" x14ac:dyDescent="0.25">
      <c r="A194" s="3"/>
      <c r="B194" s="49"/>
      <c r="D194" s="12"/>
      <c r="E194" s="12"/>
      <c r="F194" s="12"/>
      <c r="G194" s="12"/>
      <c r="H194" s="12"/>
      <c r="I194" s="3"/>
      <c r="J194" s="12"/>
      <c r="M194" s="12"/>
    </row>
    <row r="195" spans="1:13" x14ac:dyDescent="0.25">
      <c r="A195" s="3"/>
      <c r="B195" s="49"/>
      <c r="D195" s="12"/>
      <c r="E195" s="12"/>
      <c r="F195" s="12"/>
      <c r="G195" s="12"/>
      <c r="H195" s="12"/>
      <c r="I195" s="3"/>
      <c r="J195" s="12"/>
      <c r="M195" s="12"/>
    </row>
    <row r="196" spans="1:13" x14ac:dyDescent="0.25">
      <c r="A196" s="3"/>
      <c r="B196" s="49"/>
      <c r="D196" s="12"/>
      <c r="E196" s="12"/>
      <c r="F196" s="12"/>
      <c r="G196" s="12"/>
      <c r="H196" s="12"/>
      <c r="I196" s="3"/>
      <c r="J196" s="12"/>
      <c r="M196" s="12"/>
    </row>
    <row r="197" spans="1:13" x14ac:dyDescent="0.25">
      <c r="A197" s="3"/>
      <c r="B197" s="49"/>
      <c r="D197" s="12"/>
      <c r="E197" s="12"/>
      <c r="F197" s="12"/>
      <c r="G197" s="12"/>
      <c r="H197" s="12"/>
      <c r="I197" s="3"/>
      <c r="J197" s="12"/>
      <c r="M197" s="12"/>
    </row>
    <row r="198" spans="1:13" x14ac:dyDescent="0.25">
      <c r="A198" s="3"/>
      <c r="B198" s="49"/>
      <c r="D198" s="12"/>
      <c r="E198" s="12"/>
      <c r="F198" s="12"/>
      <c r="G198" s="12"/>
      <c r="H198" s="12"/>
      <c r="I198" s="3"/>
      <c r="J198" s="12"/>
      <c r="M198" s="12"/>
    </row>
    <row r="199" spans="1:13" x14ac:dyDescent="0.25">
      <c r="A199" s="3"/>
      <c r="B199" s="49"/>
      <c r="D199" s="12"/>
      <c r="E199" s="12"/>
      <c r="F199" s="12"/>
      <c r="G199" s="12"/>
      <c r="H199" s="12"/>
      <c r="I199" s="3"/>
      <c r="J199" s="12"/>
      <c r="M199" s="12"/>
    </row>
    <row r="200" spans="1:13" x14ac:dyDescent="0.25">
      <c r="A200" s="3"/>
      <c r="B200" s="49"/>
      <c r="D200" s="12"/>
      <c r="E200" s="12"/>
      <c r="F200" s="12"/>
      <c r="G200" s="12"/>
      <c r="H200" s="12"/>
      <c r="I200" s="3"/>
      <c r="J200" s="12"/>
      <c r="M200" s="12"/>
    </row>
    <row r="201" spans="1:13" x14ac:dyDescent="0.25">
      <c r="A201" s="3"/>
      <c r="B201" s="49"/>
      <c r="D201" s="12"/>
      <c r="E201" s="12"/>
      <c r="F201" s="12"/>
      <c r="G201" s="12"/>
      <c r="H201" s="12"/>
      <c r="I201" s="3"/>
      <c r="J201" s="12"/>
      <c r="M201" s="12"/>
    </row>
    <row r="202" spans="1:13" x14ac:dyDescent="0.25">
      <c r="A202" s="3"/>
      <c r="B202" s="49"/>
      <c r="D202" s="12"/>
      <c r="E202" s="12"/>
      <c r="F202" s="12"/>
      <c r="G202" s="12"/>
      <c r="H202" s="12"/>
      <c r="I202" s="3"/>
      <c r="J202" s="12"/>
      <c r="M202" s="12"/>
    </row>
    <row r="203" spans="1:13" x14ac:dyDescent="0.25">
      <c r="A203" s="3"/>
      <c r="B203" s="49"/>
      <c r="D203" s="12"/>
      <c r="E203" s="12"/>
      <c r="F203" s="12"/>
      <c r="G203" s="12"/>
      <c r="H203" s="12"/>
      <c r="I203" s="3"/>
      <c r="J203" s="12"/>
      <c r="M203" s="12"/>
    </row>
    <row r="204" spans="1:13" x14ac:dyDescent="0.25">
      <c r="A204" s="3"/>
      <c r="B204" s="49"/>
      <c r="D204" s="12"/>
      <c r="E204" s="12"/>
      <c r="F204" s="12"/>
      <c r="G204" s="12"/>
      <c r="H204" s="12"/>
      <c r="I204" s="3"/>
      <c r="J204" s="12"/>
      <c r="M204" s="12"/>
    </row>
    <row r="205" spans="1:13" x14ac:dyDescent="0.25">
      <c r="A205" s="3"/>
      <c r="B205" s="49"/>
      <c r="D205" s="12"/>
      <c r="E205" s="12"/>
      <c r="F205" s="12"/>
      <c r="G205" s="12"/>
      <c r="H205" s="12"/>
      <c r="I205" s="3"/>
      <c r="J205" s="12"/>
      <c r="M205" s="12"/>
    </row>
    <row r="206" spans="1:13" x14ac:dyDescent="0.25">
      <c r="A206" s="3"/>
      <c r="B206" s="49"/>
      <c r="D206" s="12"/>
      <c r="E206" s="12"/>
      <c r="F206" s="12"/>
      <c r="G206" s="12"/>
      <c r="H206" s="12"/>
      <c r="I206" s="3"/>
      <c r="J206" s="12"/>
      <c r="M206" s="12"/>
    </row>
    <row r="207" spans="1:13" x14ac:dyDescent="0.25">
      <c r="A207" s="3"/>
      <c r="B207" s="49"/>
      <c r="D207" s="12"/>
      <c r="E207" s="12"/>
      <c r="F207" s="12"/>
      <c r="G207" s="12"/>
      <c r="H207" s="12"/>
      <c r="I207" s="3"/>
      <c r="J207" s="12"/>
      <c r="M207" s="12"/>
    </row>
    <row r="208" spans="1:13" x14ac:dyDescent="0.25">
      <c r="A208" s="3"/>
      <c r="B208" s="49"/>
      <c r="D208" s="12"/>
      <c r="E208" s="12"/>
      <c r="F208" s="12"/>
      <c r="G208" s="12"/>
      <c r="H208" s="12"/>
      <c r="I208" s="3"/>
      <c r="J208" s="12"/>
      <c r="M208" s="12"/>
    </row>
    <row r="209" spans="1:13" x14ac:dyDescent="0.25">
      <c r="A209" s="3"/>
      <c r="B209" s="49"/>
      <c r="D209" s="12"/>
      <c r="E209" s="12"/>
      <c r="F209" s="12"/>
      <c r="G209" s="12"/>
      <c r="H209" s="12"/>
      <c r="I209" s="3"/>
      <c r="J209" s="12"/>
      <c r="M209" s="12"/>
    </row>
    <row r="210" spans="1:13" x14ac:dyDescent="0.25">
      <c r="A210" s="3"/>
      <c r="B210" s="49"/>
      <c r="D210" s="12"/>
      <c r="E210" s="12"/>
      <c r="F210" s="12"/>
      <c r="G210" s="12"/>
      <c r="H210" s="12"/>
      <c r="I210" s="3"/>
      <c r="J210" s="12"/>
      <c r="M210" s="12"/>
    </row>
    <row r="211" spans="1:13" x14ac:dyDescent="0.25">
      <c r="A211" s="3"/>
      <c r="B211" s="49"/>
      <c r="D211" s="12"/>
      <c r="E211" s="12"/>
      <c r="F211" s="12"/>
      <c r="G211" s="12"/>
      <c r="H211" s="12"/>
      <c r="I211" s="3"/>
      <c r="J211" s="12"/>
      <c r="M211" s="12"/>
    </row>
    <row r="212" spans="1:13" x14ac:dyDescent="0.25">
      <c r="A212" s="3"/>
      <c r="B212" s="49"/>
      <c r="D212" s="12"/>
      <c r="E212" s="12"/>
      <c r="F212" s="12"/>
      <c r="G212" s="12"/>
      <c r="H212" s="12"/>
      <c r="I212" s="3"/>
      <c r="J212" s="12"/>
      <c r="M212" s="12"/>
    </row>
    <row r="213" spans="1:13" x14ac:dyDescent="0.25">
      <c r="A213" s="3"/>
      <c r="B213" s="49"/>
      <c r="D213" s="12"/>
      <c r="E213" s="12"/>
      <c r="F213" s="12"/>
      <c r="G213" s="12"/>
      <c r="H213" s="12"/>
      <c r="I213" s="3"/>
      <c r="J213" s="12"/>
      <c r="M213" s="12"/>
    </row>
    <row r="214" spans="1:13" x14ac:dyDescent="0.25">
      <c r="A214" s="3"/>
      <c r="B214" s="49"/>
      <c r="D214" s="12"/>
      <c r="E214" s="12"/>
      <c r="F214" s="12"/>
      <c r="G214" s="12"/>
      <c r="H214" s="12"/>
      <c r="I214" s="3"/>
      <c r="J214" s="12"/>
      <c r="M214" s="12"/>
    </row>
    <row r="215" spans="1:13" x14ac:dyDescent="0.25">
      <c r="A215" s="3"/>
      <c r="B215" s="49"/>
      <c r="D215" s="12"/>
      <c r="E215" s="12"/>
      <c r="F215" s="12"/>
      <c r="G215" s="12"/>
      <c r="H215" s="12"/>
      <c r="I215" s="3"/>
      <c r="J215" s="12"/>
      <c r="M215" s="12"/>
    </row>
    <row r="216" spans="1:13" x14ac:dyDescent="0.25">
      <c r="A216" s="3"/>
      <c r="B216" s="49"/>
      <c r="D216" s="12"/>
      <c r="E216" s="12"/>
      <c r="F216" s="12"/>
      <c r="G216" s="12"/>
      <c r="H216" s="12"/>
      <c r="I216" s="3"/>
      <c r="J216" s="12"/>
      <c r="M216" s="12"/>
    </row>
    <row r="217" spans="1:13" x14ac:dyDescent="0.25">
      <c r="A217" s="3"/>
      <c r="B217" s="49"/>
      <c r="D217" s="12"/>
      <c r="E217" s="12"/>
      <c r="F217" s="12"/>
      <c r="G217" s="12"/>
      <c r="H217" s="12"/>
      <c r="I217" s="3"/>
      <c r="J217" s="12"/>
      <c r="M217" s="12"/>
    </row>
    <row r="218" spans="1:13" x14ac:dyDescent="0.25">
      <c r="A218" s="3"/>
      <c r="B218" s="49"/>
      <c r="D218" s="12"/>
      <c r="E218" s="12"/>
      <c r="F218" s="12"/>
      <c r="G218" s="12"/>
      <c r="H218" s="12"/>
      <c r="I218" s="3"/>
      <c r="J218" s="12"/>
      <c r="M218" s="12"/>
    </row>
    <row r="219" spans="1:13" x14ac:dyDescent="0.25">
      <c r="A219" s="3"/>
      <c r="B219" s="49"/>
      <c r="D219" s="12"/>
      <c r="E219" s="12"/>
      <c r="F219" s="12"/>
      <c r="G219" s="12"/>
      <c r="H219" s="12"/>
      <c r="I219" s="3"/>
      <c r="J219" s="12"/>
      <c r="M219" s="12"/>
    </row>
    <row r="220" spans="1:13" x14ac:dyDescent="0.25">
      <c r="A220" s="3"/>
      <c r="B220" s="49"/>
      <c r="D220" s="12"/>
      <c r="E220" s="12"/>
      <c r="F220" s="12"/>
      <c r="G220" s="12"/>
      <c r="H220" s="12"/>
      <c r="I220" s="3"/>
      <c r="J220" s="12"/>
      <c r="M220" s="12"/>
    </row>
    <row r="221" spans="1:13" x14ac:dyDescent="0.25">
      <c r="A221" s="3"/>
      <c r="B221" s="49"/>
      <c r="D221" s="12"/>
      <c r="E221" s="12"/>
      <c r="F221" s="12"/>
      <c r="G221" s="12"/>
      <c r="H221" s="12"/>
      <c r="I221" s="3"/>
      <c r="J221" s="12"/>
      <c r="M221" s="12"/>
    </row>
    <row r="222" spans="1:13" x14ac:dyDescent="0.25">
      <c r="A222" s="3"/>
      <c r="B222" s="49"/>
      <c r="D222" s="12"/>
      <c r="E222" s="12"/>
      <c r="F222" s="12"/>
      <c r="G222" s="12"/>
      <c r="H222" s="12"/>
      <c r="I222" s="3"/>
      <c r="J222" s="12"/>
      <c r="M222" s="12"/>
    </row>
    <row r="223" spans="1:13" x14ac:dyDescent="0.25">
      <c r="A223" s="3"/>
      <c r="B223" s="49"/>
      <c r="D223" s="12"/>
      <c r="E223" s="12"/>
      <c r="F223" s="12"/>
      <c r="G223" s="12"/>
      <c r="H223" s="12"/>
      <c r="I223" s="3"/>
      <c r="J223" s="12"/>
      <c r="M223" s="12"/>
    </row>
    <row r="224" spans="1:13" x14ac:dyDescent="0.25">
      <c r="A224" s="3"/>
      <c r="B224" s="49"/>
      <c r="D224" s="12"/>
      <c r="E224" s="12"/>
      <c r="F224" s="12"/>
      <c r="G224" s="12"/>
      <c r="H224" s="12"/>
      <c r="I224" s="3"/>
      <c r="J224" s="12"/>
      <c r="M224" s="12"/>
    </row>
    <row r="225" spans="1:13" x14ac:dyDescent="0.25">
      <c r="A225" s="3"/>
      <c r="B225" s="49"/>
      <c r="D225" s="12"/>
      <c r="E225" s="12"/>
      <c r="F225" s="12"/>
      <c r="G225" s="12"/>
      <c r="H225" s="12"/>
      <c r="I225" s="3"/>
      <c r="J225" s="12"/>
      <c r="M225" s="12"/>
    </row>
    <row r="226" spans="1:13" x14ac:dyDescent="0.25">
      <c r="A226" s="3"/>
      <c r="B226" s="49"/>
      <c r="D226" s="12"/>
      <c r="E226" s="12"/>
      <c r="F226" s="12"/>
      <c r="G226" s="12"/>
      <c r="H226" s="12"/>
      <c r="I226" s="3"/>
      <c r="J226" s="12"/>
      <c r="M226" s="12"/>
    </row>
    <row r="227" spans="1:13" x14ac:dyDescent="0.25">
      <c r="A227" s="3"/>
      <c r="B227" s="49"/>
      <c r="D227" s="12"/>
      <c r="E227" s="12"/>
      <c r="F227" s="12"/>
      <c r="G227" s="12"/>
      <c r="H227" s="12"/>
      <c r="I227" s="3"/>
      <c r="J227" s="12"/>
      <c r="M227" s="12"/>
    </row>
    <row r="228" spans="1:13" x14ac:dyDescent="0.25">
      <c r="A228" s="3"/>
      <c r="B228" s="49"/>
      <c r="D228" s="12"/>
      <c r="E228" s="12"/>
      <c r="F228" s="12"/>
      <c r="G228" s="12"/>
      <c r="H228" s="12"/>
      <c r="I228" s="3"/>
      <c r="J228" s="12"/>
      <c r="M228" s="12"/>
    </row>
    <row r="229" spans="1:13" x14ac:dyDescent="0.25">
      <c r="A229" s="3"/>
      <c r="B229" s="49"/>
      <c r="D229" s="12"/>
      <c r="E229" s="12"/>
      <c r="F229" s="12"/>
      <c r="G229" s="12"/>
      <c r="H229" s="12"/>
      <c r="I229" s="3"/>
      <c r="J229" s="12"/>
      <c r="M229" s="12"/>
    </row>
    <row r="230" spans="1:13" x14ac:dyDescent="0.25">
      <c r="A230" s="3"/>
      <c r="B230" s="49"/>
      <c r="D230" s="12"/>
      <c r="E230" s="12"/>
      <c r="F230" s="12"/>
      <c r="G230" s="12"/>
      <c r="H230" s="12"/>
      <c r="I230" s="3"/>
      <c r="J230" s="12"/>
      <c r="M230" s="12"/>
    </row>
    <row r="231" spans="1:13" x14ac:dyDescent="0.25">
      <c r="A231" s="3"/>
      <c r="B231" s="49"/>
      <c r="D231" s="12"/>
      <c r="E231" s="12"/>
      <c r="F231" s="12"/>
      <c r="G231" s="12"/>
      <c r="H231" s="12"/>
      <c r="I231" s="3"/>
      <c r="J231" s="12"/>
      <c r="M231" s="12"/>
    </row>
    <row r="232" spans="1:13" x14ac:dyDescent="0.25">
      <c r="A232" s="3"/>
      <c r="B232" s="49"/>
      <c r="D232" s="12"/>
      <c r="E232" s="12"/>
      <c r="F232" s="12"/>
      <c r="G232" s="12"/>
      <c r="H232" s="12"/>
      <c r="I232" s="3"/>
      <c r="J232" s="12"/>
      <c r="M232" s="12"/>
    </row>
    <row r="233" spans="1:13" x14ac:dyDescent="0.25">
      <c r="A233" s="3"/>
      <c r="B233" s="49"/>
      <c r="D233" s="12"/>
      <c r="E233" s="12"/>
      <c r="F233" s="12"/>
      <c r="G233" s="12"/>
      <c r="H233" s="12"/>
      <c r="I233" s="3"/>
      <c r="J233" s="12"/>
      <c r="M233" s="12"/>
    </row>
    <row r="234" spans="1:13" x14ac:dyDescent="0.25">
      <c r="A234" s="3"/>
      <c r="B234" s="49"/>
      <c r="D234" s="12"/>
      <c r="E234" s="12"/>
      <c r="F234" s="12"/>
      <c r="G234" s="12"/>
      <c r="H234" s="12"/>
      <c r="I234" s="3"/>
      <c r="J234" s="12"/>
      <c r="M234" s="12"/>
    </row>
    <row r="235" spans="1:13" x14ac:dyDescent="0.25">
      <c r="A235" s="3"/>
      <c r="B235" s="49"/>
      <c r="D235" s="12"/>
      <c r="E235" s="12"/>
      <c r="F235" s="12"/>
      <c r="G235" s="12"/>
      <c r="H235" s="12"/>
      <c r="I235" s="3"/>
      <c r="J235" s="12"/>
      <c r="M235" s="12"/>
    </row>
    <row r="236" spans="1:13" x14ac:dyDescent="0.25">
      <c r="A236" s="3"/>
      <c r="B236" s="49"/>
      <c r="D236" s="12"/>
      <c r="E236" s="12"/>
      <c r="F236" s="12"/>
      <c r="G236" s="12"/>
      <c r="H236" s="12"/>
      <c r="I236" s="3"/>
      <c r="J236" s="12"/>
      <c r="M236" s="12"/>
    </row>
  </sheetData>
  <printOptions horizontalCentered="1"/>
  <pageMargins left="0" right="0" top="0.75" bottom="0.5" header="0.3" footer="0.3"/>
  <pageSetup paperSize="9" scale="63" fitToHeight="100" orientation="landscape" r:id="rId1"/>
  <headerFooter>
    <oddHeader>&amp;CTRIP SHEET AUDIT TRAIL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G134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2.75" x14ac:dyDescent="0.2"/>
  <cols>
    <col min="1" max="1" width="15.140625" style="58" customWidth="1"/>
    <col min="2" max="2" width="15" style="59" customWidth="1"/>
    <col min="3" max="3" width="45" style="60" customWidth="1"/>
    <col min="4" max="4" width="14.85546875" style="61" customWidth="1"/>
    <col min="5" max="5" width="18.28515625" style="62" customWidth="1"/>
    <col min="6" max="6" width="19" style="62" customWidth="1"/>
    <col min="7" max="7" width="16.140625" style="62" customWidth="1"/>
    <col min="8" max="16384" width="9.140625" style="60"/>
  </cols>
  <sheetData>
    <row r="1" spans="1:6" s="56" customFormat="1" x14ac:dyDescent="0.2">
      <c r="A1" s="54"/>
      <c r="B1" s="55"/>
      <c r="F1" s="57"/>
    </row>
    <row r="134" spans="2:2" x14ac:dyDescent="0.2">
      <c r="B134" s="63"/>
    </row>
  </sheetData>
  <dataValidations count="1">
    <dataValidation allowBlank="1" showInputMessage="1" showErrorMessage="1" error="PLEASE USE UPPERCASE ONLY" sqref="C166 C168:C170 C172 C174:C177 C6:C132 C134:C164"/>
  </dataValidations>
  <printOptions horizontalCentered="1" gridLines="1"/>
  <pageMargins left="0" right="0" top="0.75" bottom="0.5" header="0.5" footer="0.5"/>
  <pageSetup paperSize="9" fitToHeight="100" orientation="landscape" r:id="rId1"/>
  <headerFooter alignWithMargins="0">
    <oddHeader>&amp;C&amp;12VAT SCHEDULE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20.140625" style="72" customWidth="1"/>
    <col min="2" max="2" width="20.7109375" style="73" customWidth="1"/>
    <col min="3" max="16384" width="9.140625" style="74"/>
  </cols>
  <sheetData>
    <row r="1" spans="1:2" s="71" customFormat="1" x14ac:dyDescent="0.25">
      <c r="A1" s="69"/>
      <c r="B1" s="70"/>
    </row>
    <row r="2" spans="1:2" s="71" customFormat="1" x14ac:dyDescent="0.25">
      <c r="A2" s="72"/>
      <c r="B2" s="73"/>
    </row>
    <row r="3" spans="1:2" s="71" customFormat="1" x14ac:dyDescent="0.25">
      <c r="A3" s="72"/>
      <c r="B3" s="7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"/>
  <sheetViews>
    <sheetView workbookViewId="0">
      <pane ySplit="1" topLeftCell="A2" activePane="bottomLeft" state="frozen"/>
      <selection activeCell="B1" sqref="B1"/>
      <selection pane="bottomLeft" activeCell="B1" sqref="B1"/>
    </sheetView>
  </sheetViews>
  <sheetFormatPr defaultRowHeight="15" x14ac:dyDescent="0.25"/>
  <cols>
    <col min="1" max="1" width="21.5703125" style="74" customWidth="1"/>
    <col min="2" max="2" width="15" style="77" customWidth="1"/>
    <col min="3" max="16384" width="9.140625" style="74"/>
  </cols>
  <sheetData>
    <row r="1" spans="2:2" s="75" customFormat="1" x14ac:dyDescent="0.25">
      <c r="B1" s="7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LINK</vt:lpstr>
      <vt:lpstr>EMAILS</vt:lpstr>
      <vt:lpstr>LISTS</vt:lpstr>
      <vt:lpstr>USD</vt:lpstr>
      <vt:lpstr>RAND</vt:lpstr>
      <vt:lpstr>SUMMARY</vt:lpstr>
      <vt:lpstr>CREDITORS</vt:lpstr>
      <vt:lpstr>DEBTORS</vt:lpstr>
      <vt:lpstr>OPEN TRIP SHEETS</vt:lpstr>
      <vt:lpstr>CLOSED TRIP SHEETS</vt:lpstr>
      <vt:lpstr>CD3 SCHEDULE</vt:lpstr>
      <vt:lpstr>TRIP SHEET AUDIT</vt:lpstr>
      <vt:lpstr>VAT SCHEDULE</vt:lpstr>
      <vt:lpstr>CD3 STOCK</vt:lpstr>
      <vt:lpstr>TRIP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Gary</cp:lastModifiedBy>
  <cp:lastPrinted>2016-02-18T13:53:52Z</cp:lastPrinted>
  <dcterms:created xsi:type="dcterms:W3CDTF">2015-05-22T14:56:01Z</dcterms:created>
  <dcterms:modified xsi:type="dcterms:W3CDTF">2016-04-22T14:07:56Z</dcterms:modified>
</cp:coreProperties>
</file>