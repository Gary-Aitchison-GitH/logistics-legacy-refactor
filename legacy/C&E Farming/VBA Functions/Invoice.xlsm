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46acc329a73d34f/AI - Human Intergration/Duncan Original files/C^0E Farming/VBA Functions/"/>
    </mc:Choice>
  </mc:AlternateContent>
  <xr:revisionPtr revIDLastSave="1" documentId="13_ncr:1_{CCA32176-6275-4553-BA58-3D871B468C9F}" xr6:coauthVersionLast="47" xr6:coauthVersionMax="47" xr10:uidLastSave="{D3F3373C-0E04-43E4-899A-44E9D7497171}"/>
  <bookViews>
    <workbookView xWindow="-108" yWindow="-108" windowWidth="23256" windowHeight="12456" activeTab="2" xr2:uid="{00000000-000D-0000-FFFF-FFFF00000000}"/>
  </bookViews>
  <sheets>
    <sheet name="COVER" sheetId="1" r:id="rId1"/>
    <sheet name="LINK" sheetId="2" state="hidden" r:id="rId2"/>
    <sheet name="CUSTDB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2" l="1"/>
  <c r="B32" i="2" l="1"/>
  <c r="B36" i="2" l="1"/>
  <c r="F28" i="2"/>
  <c r="B41" i="2" s="1"/>
  <c r="C29" i="2"/>
  <c r="E29" i="2"/>
  <c r="C31" i="2"/>
  <c r="C30" i="2"/>
  <c r="F31" i="2" l="1"/>
  <c r="C32" i="2"/>
  <c r="D25" i="2"/>
  <c r="F32" i="2" l="1"/>
  <c r="B43" i="2"/>
  <c r="C17" i="2"/>
  <c r="B20" i="2" l="1"/>
  <c r="B42" i="2"/>
  <c r="B1" i="2"/>
  <c r="B34" i="2" l="1"/>
  <c r="B35" i="2" s="1"/>
</calcChain>
</file>

<file path=xl/sharedStrings.xml><?xml version="1.0" encoding="utf-8"?>
<sst xmlns="http://schemas.openxmlformats.org/spreadsheetml/2006/main" count="68" uniqueCount="60">
  <si>
    <t>DATE</t>
  </si>
  <si>
    <t>UF1 NEW / EXISITING</t>
  </si>
  <si>
    <t>UF 2 SELECTION</t>
  </si>
  <si>
    <t>UF3 COMPANY</t>
  </si>
  <si>
    <t>ADDRESS 1</t>
  </si>
  <si>
    <t>ADDRESS 2</t>
  </si>
  <si>
    <t>ADDRESS 3</t>
  </si>
  <si>
    <t>VAT #</t>
  </si>
  <si>
    <t>COMPANY NAME / (PVT) LTD</t>
  </si>
  <si>
    <t>PHYSICAL ADDRESS LINE 1</t>
  </si>
  <si>
    <t>PHYSICAL ADDRESS LINE 2</t>
  </si>
  <si>
    <t>PHYSICAL ADDRESS LINE 3</t>
  </si>
  <si>
    <t>CONTACT NAME</t>
  </si>
  <si>
    <t>EMAIL ADDRESS 1</t>
  </si>
  <si>
    <t>CONTACT NUMBERS</t>
  </si>
  <si>
    <t>VAT NUMBER</t>
  </si>
  <si>
    <t>EXISITING</t>
  </si>
  <si>
    <t>INVOICE #</t>
  </si>
  <si>
    <t>.xlsm</t>
  </si>
  <si>
    <t>CONTACT NAME :-</t>
  </si>
  <si>
    <t>EMAIL :-</t>
  </si>
  <si>
    <t>TELEPHONE :-</t>
  </si>
  <si>
    <t>INVOICE DETAILS</t>
  </si>
  <si>
    <t>QUAN</t>
  </si>
  <si>
    <t>DESCRIPTION</t>
  </si>
  <si>
    <t>RATE</t>
  </si>
  <si>
    <t>SUB TOTAL</t>
  </si>
  <si>
    <t>VAT</t>
  </si>
  <si>
    <t>TOTAL</t>
  </si>
  <si>
    <t>UF4 VAT YES</t>
  </si>
  <si>
    <t>UF4 VAT NO</t>
  </si>
  <si>
    <t>UF 4 DATE DESC</t>
  </si>
  <si>
    <t>UF 4 DUE DATE</t>
  </si>
  <si>
    <t xml:space="preserve"> days from today.</t>
  </si>
  <si>
    <t xml:space="preserve">which is </t>
  </si>
  <si>
    <t>vat confirm</t>
  </si>
  <si>
    <t>ALL GO</t>
  </si>
  <si>
    <t>GO</t>
  </si>
  <si>
    <t>REF</t>
  </si>
  <si>
    <t xml:space="preserve"> </t>
  </si>
  <si>
    <t>USD</t>
  </si>
  <si>
    <t>DUE</t>
  </si>
  <si>
    <t>VALUE EXC</t>
  </si>
  <si>
    <t>VALUE INC</t>
  </si>
  <si>
    <t>VAT VALUE</t>
  </si>
  <si>
    <t>VAT CREDIT VALUES FOR SCHEDULE</t>
  </si>
  <si>
    <t>Afrifor (Pvt) Ltd</t>
  </si>
  <si>
    <t>7 Kingsrow Northgate</t>
  </si>
  <si>
    <t>Borrowdale</t>
  </si>
  <si>
    <t>Harare</t>
  </si>
  <si>
    <t>Pam</t>
  </si>
  <si>
    <t>04-882491/882467</t>
  </si>
  <si>
    <t>Rodrig Haulage</t>
  </si>
  <si>
    <t>598 Dohwe Street</t>
  </si>
  <si>
    <t>Ruwa</t>
  </si>
  <si>
    <t>Rainos Torei</t>
  </si>
  <si>
    <t>accounts@rodrig.co.zw</t>
  </si>
  <si>
    <t>0772 032 533/ 0772881207/0772462509</t>
  </si>
  <si>
    <t>things</t>
  </si>
  <si>
    <t>CE77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</si>
</sst>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3009]dd\-mmm\-yy;@"/>
    <numFmt numFmtId="165" formatCode="[$$-409]#,##0.00_);[Red]\([$$-409]#,##0.00\)"/>
    <numFmt numFmtId="166" formatCode="&quot;$&quot;#,##0.00_);[Red]\(&quot;$&quot;#,##0.00\)"/>
    <numFmt numFmtId="167" formatCode="[$-409]d\-mmm\-yy;@"/>
    <numFmt numFmtId="168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2">
    <xf numFmtId="0" fontId="0" fillId="0" borderId="0" xfId="0"/>
    <xf numFmtId="16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1"/>
    <xf numFmtId="0" fontId="0" fillId="0" borderId="0" xfId="0" quotePrefix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7" fontId="0" fillId="0" borderId="0" xfId="0" applyNumberFormat="1" applyAlignment="1">
      <alignment horizontal="center"/>
    </xf>
    <xf numFmtId="168" fontId="3" fillId="0" borderId="0" xfId="2" applyNumberFormat="1"/>
    <xf numFmtId="167" fontId="0" fillId="0" borderId="0" xfId="0" applyNumberFormat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C22" sqref="C22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B17" sqref="B17"/>
    </sheetView>
  </sheetViews>
  <sheetFormatPr defaultRowHeight="14.4" x14ac:dyDescent="0.3"/>
  <cols>
    <col min="1" max="1" width="25" customWidth="1"/>
    <col min="2" max="2" width="27.5546875" customWidth="1"/>
    <col min="4" max="4" width="42" customWidth="1"/>
    <col min="5" max="5" width="14" customWidth="1"/>
    <col min="6" max="6" width="15.6640625" customWidth="1"/>
  </cols>
  <sheetData>
    <row r="1" spans="1:2" x14ac:dyDescent="0.3">
      <c r="A1" t="s">
        <v>0</v>
      </c>
      <c r="B1" s="1">
        <f ca="1">TODAY()</f>
        <v>45893</v>
      </c>
    </row>
    <row r="5" spans="1:2" x14ac:dyDescent="0.3">
      <c r="A5" t="s">
        <v>1</v>
      </c>
      <c r="B5" t="s">
        <v>16</v>
      </c>
    </row>
    <row r="8" spans="1:2" x14ac:dyDescent="0.3">
      <c r="A8" t="s">
        <v>2</v>
      </c>
      <c r="B8" t="s">
        <v>46</v>
      </c>
    </row>
    <row r="10" spans="1:2" x14ac:dyDescent="0.3">
      <c r="A10" t="s">
        <v>3</v>
      </c>
      <c r="B10" t="s">
        <v>46</v>
      </c>
    </row>
    <row r="11" spans="1:2" x14ac:dyDescent="0.3">
      <c r="A11" t="s">
        <v>4</v>
      </c>
      <c r="B11" t="s">
        <v>47</v>
      </c>
    </row>
    <row r="12" spans="1:2" x14ac:dyDescent="0.3">
      <c r="A12" t="s">
        <v>5</v>
      </c>
      <c r="B12" t="s">
        <v>48</v>
      </c>
    </row>
    <row r="13" spans="1:2" x14ac:dyDescent="0.3">
      <c r="A13" t="s">
        <v>6</v>
      </c>
      <c r="B13" t="s">
        <v>49</v>
      </c>
    </row>
    <row r="14" spans="1:2" x14ac:dyDescent="0.3">
      <c r="A14" t="s">
        <v>19</v>
      </c>
      <c r="B14" t="s">
        <v>50</v>
      </c>
    </row>
    <row r="15" spans="1:2" x14ac:dyDescent="0.3">
      <c r="A15" t="s">
        <v>20</v>
      </c>
      <c r="B15" s="3"/>
    </row>
    <row r="16" spans="1:2" x14ac:dyDescent="0.3">
      <c r="A16" t="s">
        <v>21</v>
      </c>
      <c r="B16" s="4" t="s">
        <v>51</v>
      </c>
    </row>
    <row r="17" spans="1:6" x14ac:dyDescent="0.3">
      <c r="A17" t="s">
        <v>7</v>
      </c>
      <c r="C17" t="b">
        <f>ISNUMBER(B17)</f>
        <v>0</v>
      </c>
    </row>
    <row r="20" spans="1:6" x14ac:dyDescent="0.3">
      <c r="A20" t="s">
        <v>38</v>
      </c>
      <c r="B20" s="8" t="str">
        <f>B25&amp;C20&amp;B10&amp;C20&amp;D20&amp;F32&amp;C20&amp;D21&amp;C20&amp;C33</f>
        <v>CE77 Afrifor (Pvt) Ltd USD1000 DUE 17-6-16</v>
      </c>
      <c r="C20" t="s">
        <v>39</v>
      </c>
      <c r="D20" s="8" t="s">
        <v>40</v>
      </c>
    </row>
    <row r="21" spans="1:6" x14ac:dyDescent="0.3">
      <c r="B21" s="9"/>
      <c r="C21" s="10"/>
      <c r="D21" s="8" t="s">
        <v>41</v>
      </c>
    </row>
    <row r="22" spans="1:6" x14ac:dyDescent="0.3">
      <c r="B22" s="11"/>
    </row>
    <row r="25" spans="1:6" x14ac:dyDescent="0.3">
      <c r="A25" t="s">
        <v>17</v>
      </c>
      <c r="B25" t="s">
        <v>59</v>
      </c>
      <c r="C25" t="s">
        <v>18</v>
      </c>
      <c r="D25" t="str">
        <f>B25&amp;C25</f>
        <v>CE77.xlsm</v>
      </c>
    </row>
    <row r="27" spans="1:6" x14ac:dyDescent="0.3">
      <c r="B27" s="5" t="s">
        <v>22</v>
      </c>
      <c r="C27" s="5" t="s">
        <v>23</v>
      </c>
      <c r="D27" s="5" t="s">
        <v>24</v>
      </c>
      <c r="E27" s="5" t="s">
        <v>25</v>
      </c>
      <c r="F27" s="5" t="s">
        <v>26</v>
      </c>
    </row>
    <row r="28" spans="1:6" x14ac:dyDescent="0.3">
      <c r="C28" s="5">
        <v>10</v>
      </c>
      <c r="D28" s="7" t="s">
        <v>58</v>
      </c>
      <c r="E28" s="6">
        <v>100</v>
      </c>
      <c r="F28" s="6">
        <f>IF(B30=TRUE,(C28*(E28/115*100)),C28*E28)</f>
        <v>1000</v>
      </c>
    </row>
    <row r="29" spans="1:6" x14ac:dyDescent="0.3">
      <c r="C29" t="b">
        <f>ISNUMBER(C28)</f>
        <v>1</v>
      </c>
      <c r="D29" s="7"/>
      <c r="E29" t="b">
        <f>ISNUMBER(E28)</f>
        <v>1</v>
      </c>
    </row>
    <row r="30" spans="1:6" x14ac:dyDescent="0.3">
      <c r="A30" t="s">
        <v>29</v>
      </c>
      <c r="B30" t="b">
        <v>0</v>
      </c>
      <c r="C30">
        <f>IF(B30=TRUE,1,0)</f>
        <v>0</v>
      </c>
    </row>
    <row r="31" spans="1:6" x14ac:dyDescent="0.3">
      <c r="A31" t="s">
        <v>30</v>
      </c>
      <c r="B31" t="b">
        <v>1</v>
      </c>
      <c r="C31">
        <f>IF(B31=TRUE,1,0)</f>
        <v>1</v>
      </c>
      <c r="E31" t="s">
        <v>27</v>
      </c>
      <c r="F31" s="6">
        <f>IF(B30=TRUE,F28*15%,0)</f>
        <v>0</v>
      </c>
    </row>
    <row r="32" spans="1:6" x14ac:dyDescent="0.3">
      <c r="B32" t="str">
        <f>IF(B30=TRUE,"Exc","Inc")</f>
        <v>Inc</v>
      </c>
      <c r="C32">
        <f>SUM(C30:C31)</f>
        <v>1</v>
      </c>
      <c r="E32" t="s">
        <v>28</v>
      </c>
      <c r="F32" s="6">
        <f>SUM(F28+F31)</f>
        <v>1000</v>
      </c>
    </row>
    <row r="33" spans="1:3" x14ac:dyDescent="0.3">
      <c r="A33" t="s">
        <v>32</v>
      </c>
      <c r="B33" s="1">
        <v>42538</v>
      </c>
      <c r="C33" s="10" t="str">
        <f>TEXT(B33,"d-m-yy")</f>
        <v>17-6-16</v>
      </c>
    </row>
    <row r="34" spans="1:3" x14ac:dyDescent="0.3">
      <c r="A34" t="s">
        <v>34</v>
      </c>
      <c r="B34">
        <f ca="1">B33-B1</f>
        <v>-3355</v>
      </c>
      <c r="C34" t="s">
        <v>33</v>
      </c>
    </row>
    <row r="35" spans="1:3" x14ac:dyDescent="0.3">
      <c r="A35" t="s">
        <v>31</v>
      </c>
      <c r="B35" t="str">
        <f ca="1">A34&amp;B34&amp;C34</f>
        <v>which is -3355 days from today.</v>
      </c>
    </row>
    <row r="36" spans="1:3" x14ac:dyDescent="0.3">
      <c r="A36" t="s">
        <v>35</v>
      </c>
      <c r="B36" t="str">
        <f>IF(B30=TRUE,"YES","NO")</f>
        <v>NO</v>
      </c>
    </row>
    <row r="38" spans="1:3" x14ac:dyDescent="0.3">
      <c r="A38" t="s">
        <v>36</v>
      </c>
      <c r="B38" t="s">
        <v>37</v>
      </c>
    </row>
    <row r="40" spans="1:3" x14ac:dyDescent="0.3">
      <c r="A40" t="s">
        <v>45</v>
      </c>
    </row>
    <row r="41" spans="1:3" x14ac:dyDescent="0.3">
      <c r="A41" t="s">
        <v>42</v>
      </c>
      <c r="B41" s="6">
        <f>0-F28</f>
        <v>-1000</v>
      </c>
    </row>
    <row r="42" spans="1:3" x14ac:dyDescent="0.3">
      <c r="A42" t="s">
        <v>43</v>
      </c>
      <c r="B42" s="6">
        <f>0-F32</f>
        <v>-1000</v>
      </c>
    </row>
    <row r="43" spans="1:3" x14ac:dyDescent="0.3">
      <c r="A43" t="s">
        <v>44</v>
      </c>
      <c r="B43" s="6">
        <f>0-F31</f>
        <v>0</v>
      </c>
    </row>
    <row r="45" spans="1:3" x14ac:dyDescent="0.3">
      <c r="B45" t="b">
        <v>0</v>
      </c>
    </row>
    <row r="46" spans="1:3" x14ac:dyDescent="0.3">
      <c r="B46" t="b">
        <v>0</v>
      </c>
    </row>
    <row r="47" spans="1:3" x14ac:dyDescent="0.3">
      <c r="B47" t="b"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9"/>
  <sheetViews>
    <sheetView tabSelected="1" workbookViewId="0">
      <pane ySplit="1" topLeftCell="A2" activePane="bottomLeft" state="frozen"/>
      <selection activeCell="F31" sqref="F31"/>
      <selection pane="bottomLeft" activeCell="A2" sqref="A2:H2"/>
    </sheetView>
  </sheetViews>
  <sheetFormatPr defaultRowHeight="14.4" x14ac:dyDescent="0.3"/>
  <cols>
    <col min="1" max="1" width="39.88671875" customWidth="1"/>
    <col min="2" max="2" width="34.88671875" customWidth="1"/>
    <col min="3" max="3" width="31.33203125" customWidth="1"/>
    <col min="4" max="4" width="28.5546875" customWidth="1"/>
    <col min="5" max="5" width="34.44140625" customWidth="1"/>
    <col min="6" max="6" width="30.109375" customWidth="1"/>
    <col min="7" max="7" width="37.6640625" customWidth="1"/>
    <col min="8" max="8" width="24.44140625" customWidth="1"/>
  </cols>
  <sheetData>
    <row r="1" spans="1:8" s="2" customFormat="1" x14ac:dyDescent="0.3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</row>
    <row r="2" spans="1:8" x14ac:dyDescent="0.3">
      <c r="A2" t="s">
        <v>46</v>
      </c>
      <c r="B2" t="s">
        <v>47</v>
      </c>
      <c r="C2" t="s">
        <v>48</v>
      </c>
      <c r="D2" t="s">
        <v>49</v>
      </c>
      <c r="E2" t="s">
        <v>50</v>
      </c>
      <c r="F2" s="3"/>
      <c r="G2" s="4" t="s">
        <v>51</v>
      </c>
    </row>
    <row r="3" spans="1:8" x14ac:dyDescent="0.3">
      <c r="A3" t="s">
        <v>52</v>
      </c>
      <c r="B3" t="s">
        <v>53</v>
      </c>
      <c r="C3" t="s">
        <v>54</v>
      </c>
      <c r="D3" t="s">
        <v>54</v>
      </c>
      <c r="E3" t="s">
        <v>55</v>
      </c>
      <c r="F3" s="3" t="s">
        <v>56</v>
      </c>
      <c r="G3" s="4" t="s">
        <v>57</v>
      </c>
    </row>
    <row r="4" spans="1:8" x14ac:dyDescent="0.3">
      <c r="F4" s="3"/>
      <c r="G4" s="5"/>
      <c r="H4" s="5"/>
    </row>
    <row r="5" spans="1:8" x14ac:dyDescent="0.3">
      <c r="F5" s="3"/>
      <c r="G5" s="4"/>
    </row>
    <row r="6" spans="1:8" x14ac:dyDescent="0.3">
      <c r="F6" s="3"/>
      <c r="G6" s="4"/>
    </row>
    <row r="7" spans="1:8" x14ac:dyDescent="0.3">
      <c r="F7" s="3"/>
      <c r="G7" s="4"/>
    </row>
    <row r="8" spans="1:8" x14ac:dyDescent="0.3">
      <c r="F8" s="3"/>
      <c r="G8" s="5"/>
      <c r="H8" s="5"/>
    </row>
    <row r="9" spans="1:8" x14ac:dyDescent="0.3">
      <c r="F9" s="3"/>
      <c r="G9" s="4"/>
    </row>
    <row r="10" spans="1:8" x14ac:dyDescent="0.3">
      <c r="F10" s="3"/>
      <c r="G10" s="5"/>
      <c r="H10" s="5"/>
    </row>
    <row r="11" spans="1:8" x14ac:dyDescent="0.3">
      <c r="B11" s="3"/>
      <c r="D11" s="5"/>
      <c r="E11" s="5"/>
    </row>
    <row r="12" spans="1:8" x14ac:dyDescent="0.3">
      <c r="F12" s="3"/>
      <c r="G12" s="4"/>
    </row>
    <row r="13" spans="1:8" x14ac:dyDescent="0.3">
      <c r="F13" s="3"/>
      <c r="G13" s="4"/>
    </row>
    <row r="14" spans="1:8" x14ac:dyDescent="0.3">
      <c r="F14" s="3"/>
      <c r="G14" s="4"/>
    </row>
    <row r="15" spans="1:8" x14ac:dyDescent="0.3">
      <c r="F15" s="3"/>
      <c r="G15" s="4"/>
    </row>
    <row r="16" spans="1:8" x14ac:dyDescent="0.3">
      <c r="F16" s="3"/>
      <c r="G16" s="4"/>
    </row>
    <row r="17" spans="6:8" x14ac:dyDescent="0.3">
      <c r="F17" s="3"/>
      <c r="G17" s="5"/>
      <c r="H17" s="5"/>
    </row>
    <row r="18" spans="6:8" x14ac:dyDescent="0.3">
      <c r="F18" s="3"/>
      <c r="G18" s="4"/>
    </row>
    <row r="19" spans="6:8" x14ac:dyDescent="0.3">
      <c r="F19" s="3"/>
      <c r="G19" s="4"/>
    </row>
    <row r="20" spans="6:8" x14ac:dyDescent="0.3">
      <c r="F20" s="3"/>
      <c r="G20" s="5"/>
      <c r="H20" s="5"/>
    </row>
    <row r="21" spans="6:8" x14ac:dyDescent="0.3">
      <c r="F21" s="3"/>
      <c r="G21" s="4"/>
    </row>
    <row r="22" spans="6:8" x14ac:dyDescent="0.3">
      <c r="F22" s="3"/>
      <c r="G22" s="4"/>
    </row>
    <row r="23" spans="6:8" x14ac:dyDescent="0.3">
      <c r="F23" s="3"/>
      <c r="G23" s="4"/>
    </row>
    <row r="24" spans="6:8" x14ac:dyDescent="0.3">
      <c r="F24" s="3"/>
      <c r="G24" s="5"/>
      <c r="H24" s="5"/>
    </row>
    <row r="25" spans="6:8" x14ac:dyDescent="0.3">
      <c r="F25" s="3"/>
      <c r="G25" s="5"/>
      <c r="H25" s="5"/>
    </row>
    <row r="26" spans="6:8" x14ac:dyDescent="0.3">
      <c r="F26" s="3"/>
      <c r="G26" s="4"/>
    </row>
    <row r="27" spans="6:8" x14ac:dyDescent="0.3">
      <c r="F27" s="3"/>
      <c r="G27" s="5"/>
      <c r="H27" s="5"/>
    </row>
    <row r="28" spans="6:8" x14ac:dyDescent="0.3">
      <c r="F28" s="3"/>
      <c r="G28" s="4"/>
    </row>
    <row r="29" spans="6:8" x14ac:dyDescent="0.3">
      <c r="F29" s="3"/>
      <c r="G29" s="5"/>
      <c r="H29" s="5"/>
    </row>
    <row r="30" spans="6:8" x14ac:dyDescent="0.3">
      <c r="F30" s="3"/>
      <c r="G30" s="4"/>
    </row>
    <row r="31" spans="6:8" x14ac:dyDescent="0.3">
      <c r="F31" s="3"/>
      <c r="G31" s="5"/>
      <c r="H31" s="5"/>
    </row>
    <row r="32" spans="6:8" x14ac:dyDescent="0.3">
      <c r="F32" s="3"/>
      <c r="G32" s="5"/>
      <c r="H32" s="5"/>
    </row>
    <row r="33" spans="6:8" x14ac:dyDescent="0.3">
      <c r="F33" s="3"/>
      <c r="G33" s="5"/>
      <c r="H33" s="5"/>
    </row>
    <row r="34" spans="6:8" x14ac:dyDescent="0.3">
      <c r="F34" s="3"/>
      <c r="G34" s="5"/>
      <c r="H34" s="5"/>
    </row>
    <row r="35" spans="6:8" x14ac:dyDescent="0.3">
      <c r="F35" s="3"/>
      <c r="G35" s="5"/>
      <c r="H35" s="5"/>
    </row>
    <row r="36" spans="6:8" x14ac:dyDescent="0.3">
      <c r="F36" s="3"/>
      <c r="G36" s="5"/>
      <c r="H36" s="5"/>
    </row>
    <row r="37" spans="6:8" x14ac:dyDescent="0.3">
      <c r="F37" s="3"/>
      <c r="G37" s="5"/>
      <c r="H37" s="5"/>
    </row>
    <row r="38" spans="6:8" x14ac:dyDescent="0.3">
      <c r="F38" s="3"/>
      <c r="G38" s="5"/>
      <c r="H38" s="5"/>
    </row>
    <row r="39" spans="6:8" x14ac:dyDescent="0.3">
      <c r="F39" s="3"/>
      <c r="G39" s="4"/>
    </row>
    <row r="40" spans="6:8" x14ac:dyDescent="0.3">
      <c r="F40" s="3"/>
      <c r="G40" s="4"/>
    </row>
    <row r="41" spans="6:8" x14ac:dyDescent="0.3">
      <c r="F41" s="3"/>
      <c r="G41" s="4"/>
    </row>
    <row r="42" spans="6:8" x14ac:dyDescent="0.3">
      <c r="F42" s="3"/>
      <c r="G42" s="5"/>
      <c r="H42" s="5"/>
    </row>
    <row r="43" spans="6:8" x14ac:dyDescent="0.3">
      <c r="F43" s="3"/>
      <c r="G43" s="4"/>
    </row>
    <row r="44" spans="6:8" x14ac:dyDescent="0.3">
      <c r="F44" s="3"/>
      <c r="G44" s="5"/>
      <c r="H44" s="5"/>
    </row>
    <row r="45" spans="6:8" x14ac:dyDescent="0.3">
      <c r="F45" s="3"/>
      <c r="G45" s="4"/>
    </row>
    <row r="46" spans="6:8" x14ac:dyDescent="0.3">
      <c r="F46" s="3"/>
      <c r="G46" s="5"/>
      <c r="H46" s="5"/>
    </row>
    <row r="47" spans="6:8" x14ac:dyDescent="0.3">
      <c r="F47" s="3"/>
      <c r="G47" s="5"/>
      <c r="H47" s="5"/>
    </row>
    <row r="48" spans="6:8" x14ac:dyDescent="0.3">
      <c r="F48" s="3"/>
      <c r="G48" s="4"/>
    </row>
    <row r="49" spans="6:8" x14ac:dyDescent="0.3">
      <c r="F49" s="3"/>
      <c r="G49" s="5"/>
      <c r="H49" s="5"/>
    </row>
    <row r="50" spans="6:8" x14ac:dyDescent="0.3">
      <c r="F50" s="3"/>
      <c r="G50" s="5"/>
      <c r="H50" s="5"/>
    </row>
    <row r="51" spans="6:8" x14ac:dyDescent="0.3">
      <c r="F51" s="3"/>
      <c r="G51" s="4"/>
    </row>
    <row r="52" spans="6:8" x14ac:dyDescent="0.3">
      <c r="F52" s="3"/>
      <c r="G52" s="5"/>
      <c r="H52" s="5"/>
    </row>
    <row r="53" spans="6:8" x14ac:dyDescent="0.3">
      <c r="F53" s="3"/>
      <c r="G53" s="4"/>
    </row>
    <row r="54" spans="6:8" x14ac:dyDescent="0.3">
      <c r="F54" s="3"/>
      <c r="G54" s="5"/>
      <c r="H54" s="5"/>
    </row>
    <row r="55" spans="6:8" x14ac:dyDescent="0.3">
      <c r="F55" s="3"/>
      <c r="G55" s="5"/>
      <c r="H55" s="5"/>
    </row>
    <row r="56" spans="6:8" x14ac:dyDescent="0.3">
      <c r="F56" s="3"/>
      <c r="G56" s="5"/>
      <c r="H56" s="5"/>
    </row>
    <row r="57" spans="6:8" x14ac:dyDescent="0.3">
      <c r="F57" s="3"/>
      <c r="G57" s="4"/>
    </row>
    <row r="58" spans="6:8" x14ac:dyDescent="0.3">
      <c r="F58" s="3"/>
      <c r="G58" s="4"/>
    </row>
    <row r="59" spans="6:8" x14ac:dyDescent="0.3">
      <c r="F59" s="3"/>
      <c r="G59" s="4"/>
    </row>
  </sheetData>
  <sortState xmlns:xlrd2="http://schemas.microsoft.com/office/spreadsheetml/2017/richdata2" ref="A2:H59">
    <sortCondition ref="A2:A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LINK</vt:lpstr>
      <vt:lpstr>CUSTDB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dcterms:created xsi:type="dcterms:W3CDTF">2016-02-15T18:51:41Z</dcterms:created>
  <dcterms:modified xsi:type="dcterms:W3CDTF">2025-08-24T08:30:21Z</dcterms:modified>
</cp:coreProperties>
</file>