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&amp;E Farming\VBA Functions\"/>
    </mc:Choice>
  </mc:AlternateContent>
  <xr:revisionPtr revIDLastSave="0" documentId="13_ncr:1_{94FE60D6-6742-41C8-8DB9-9E63BE59B59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VER" sheetId="1" r:id="rId1"/>
    <sheet name="LINK" sheetId="2" state="hidden" r:id="rId2"/>
    <sheet name="EMAILS" sheetId="8" state="hidden" r:id="rId3"/>
    <sheet name="EMAILS1" sheetId="9" state="hidden" r:id="rId4"/>
    <sheet name="EMAILS2" sheetId="10" state="hidden" r:id="rId5"/>
    <sheet name="DATA" sheetId="3" state="hidden" r:id="rId6"/>
    <sheet name="CONTROLS" sheetId="4" state="hidden" r:id="rId7"/>
    <sheet name="REF" sheetId="5" state="hidden" r:id="rId8"/>
    <sheet name="TS" sheetId="15" state="hidden" r:id="rId9"/>
    <sheet name="COMMENTS" sheetId="7" state="hidden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6" i="15" l="1"/>
  <c r="F46" i="15" s="1"/>
  <c r="E45" i="15"/>
  <c r="F45" i="15" s="1"/>
  <c r="E44" i="15"/>
  <c r="F44" i="15" s="1"/>
  <c r="E43" i="15"/>
  <c r="F43" i="15" s="1"/>
  <c r="C50" i="15" l="1"/>
  <c r="F39" i="15"/>
  <c r="F38" i="15"/>
  <c r="F31" i="15"/>
  <c r="F32" i="15" s="1"/>
  <c r="F33" i="15" s="1"/>
  <c r="F34" i="15" s="1"/>
  <c r="F35" i="15" s="1"/>
  <c r="F36" i="15" s="1"/>
  <c r="F37" i="15" s="1"/>
  <c r="F18" i="15"/>
  <c r="F19" i="15" s="1"/>
  <c r="F20" i="15" s="1"/>
  <c r="F21" i="15" s="1"/>
  <c r="F22" i="15" s="1"/>
  <c r="F23" i="15" s="1"/>
  <c r="F24" i="15" s="1"/>
  <c r="F25" i="15" s="1"/>
  <c r="F26" i="15" s="1"/>
  <c r="F27" i="15" s="1"/>
  <c r="E13" i="15"/>
  <c r="B13" i="15"/>
  <c r="F4" i="15"/>
  <c r="C4" i="15"/>
  <c r="E50" i="15" l="1"/>
  <c r="F50" i="15" s="1"/>
  <c r="C119" i="2" l="1"/>
  <c r="C118" i="2"/>
  <c r="C120" i="2" l="1"/>
  <c r="C91" i="2" l="1"/>
  <c r="B70" i="2" l="1"/>
  <c r="C70" i="2"/>
  <c r="B71" i="2"/>
  <c r="C71" i="2"/>
  <c r="B72" i="2"/>
  <c r="C72" i="2"/>
  <c r="B73" i="2"/>
  <c r="C73" i="2"/>
  <c r="B74" i="2"/>
  <c r="C74" i="2"/>
  <c r="B75" i="2"/>
  <c r="C75" i="2"/>
  <c r="C69" i="2"/>
  <c r="B69" i="2"/>
  <c r="B66" i="2"/>
  <c r="B65" i="2"/>
  <c r="B64" i="2"/>
  <c r="B63" i="2"/>
  <c r="B111" i="2" l="1"/>
  <c r="B115" i="2"/>
  <c r="A115" i="2"/>
  <c r="A114" i="2"/>
  <c r="A111" i="2"/>
  <c r="A110" i="2"/>
  <c r="A106" i="2"/>
  <c r="A103" i="2"/>
  <c r="B106" i="2"/>
  <c r="B113" i="2" s="1"/>
  <c r="D113" i="2" s="1"/>
  <c r="B103" i="2"/>
  <c r="B109" i="2" s="1"/>
  <c r="D109" i="2" s="1"/>
  <c r="B110" i="2" l="1"/>
  <c r="B114" i="2"/>
  <c r="B1" i="10" l="1"/>
  <c r="B2" i="10" s="1"/>
  <c r="B1" i="9" l="1"/>
  <c r="B2" i="9" s="1"/>
  <c r="D2" i="9" l="1"/>
  <c r="D2" i="10" l="1"/>
  <c r="D93" i="2" l="1"/>
  <c r="E93" i="2"/>
  <c r="F93" i="2" l="1"/>
  <c r="D95" i="2"/>
  <c r="E95" i="2"/>
  <c r="D96" i="2"/>
  <c r="E96" i="2"/>
  <c r="D97" i="2"/>
  <c r="E97" i="2"/>
  <c r="D98" i="2"/>
  <c r="E98" i="2"/>
  <c r="D99" i="2"/>
  <c r="E99" i="2"/>
  <c r="E94" i="2"/>
  <c r="D94" i="2"/>
  <c r="F99" i="2" l="1"/>
  <c r="F96" i="2"/>
  <c r="F97" i="2"/>
  <c r="F98" i="2"/>
  <c r="F95" i="2"/>
  <c r="F94" i="2"/>
  <c r="D2" i="8"/>
  <c r="B1" i="8"/>
  <c r="B2" i="8" s="1"/>
  <c r="E2" i="8" s="1"/>
  <c r="D81" i="2" l="1"/>
  <c r="B91" i="2" s="1"/>
  <c r="C80" i="2" l="1"/>
  <c r="C81" i="2"/>
  <c r="D60" i="2" l="1"/>
  <c r="E47" i="2" l="1"/>
  <c r="D47" i="2"/>
  <c r="C43" i="2" l="1"/>
  <c r="B37" i="2" l="1"/>
  <c r="B35" i="2"/>
  <c r="B34" i="2"/>
  <c r="B32" i="2"/>
  <c r="B31" i="2"/>
  <c r="B30" i="2"/>
  <c r="B29" i="2"/>
  <c r="B28" i="2"/>
  <c r="B27" i="2"/>
  <c r="B24" i="2" l="1"/>
  <c r="C11" i="2" l="1"/>
  <c r="B33" i="2" s="1"/>
  <c r="C14" i="2"/>
  <c r="B36" i="2" s="1"/>
  <c r="C1" i="2" l="1"/>
  <c r="B1" i="2"/>
  <c r="B48" i="2" l="1"/>
  <c r="B50" i="2" s="1"/>
  <c r="D50" i="2" s="1"/>
  <c r="E2" i="10" l="1"/>
  <c r="E2" i="9"/>
</calcChain>
</file>

<file path=xl/sharedStrings.xml><?xml version="1.0" encoding="utf-8"?>
<sst xmlns="http://schemas.openxmlformats.org/spreadsheetml/2006/main" count="442" uniqueCount="298">
  <si>
    <t>DATE &amp; TIME</t>
  </si>
  <si>
    <t>UF1 TANK AT START</t>
  </si>
  <si>
    <t>REGIS</t>
  </si>
  <si>
    <t>YORAMU</t>
  </si>
  <si>
    <t>PATRICK</t>
  </si>
  <si>
    <t>CLEVER</t>
  </si>
  <si>
    <t>HUMPHREY</t>
  </si>
  <si>
    <t>WELLINGTON</t>
  </si>
  <si>
    <t>LLOYD</t>
  </si>
  <si>
    <t>GUZHA</t>
  </si>
  <si>
    <t>SAMUEL</t>
  </si>
  <si>
    <t>GEORGE</t>
  </si>
  <si>
    <t>TATENDA</t>
  </si>
  <si>
    <t>KADUNI</t>
  </si>
  <si>
    <t>JULIUS</t>
  </si>
  <si>
    <t>MAXWELL</t>
  </si>
  <si>
    <t>Benz</t>
  </si>
  <si>
    <t>ABJ 1897</t>
  </si>
  <si>
    <t>C11</t>
  </si>
  <si>
    <t>ACE 0621</t>
  </si>
  <si>
    <t>C12</t>
  </si>
  <si>
    <t>AAS 5840</t>
  </si>
  <si>
    <t>C14</t>
  </si>
  <si>
    <t>ABB 5558</t>
  </si>
  <si>
    <t>C8</t>
  </si>
  <si>
    <t>AAS 5838</t>
  </si>
  <si>
    <t>C9</t>
  </si>
  <si>
    <t>AAS 5841</t>
  </si>
  <si>
    <t>CE01</t>
  </si>
  <si>
    <t>AAS 5839</t>
  </si>
  <si>
    <t>CE05</t>
  </si>
  <si>
    <t>AAS 5843</t>
  </si>
  <si>
    <t>CS02</t>
  </si>
  <si>
    <t>WMY 268 GP</t>
  </si>
  <si>
    <t>CS03</t>
  </si>
  <si>
    <t>XRS 916 GP</t>
  </si>
  <si>
    <t>CS04</t>
  </si>
  <si>
    <t>VSN 441 GP</t>
  </si>
  <si>
    <t>CS05</t>
  </si>
  <si>
    <t>ZFV 875 GP</t>
  </si>
  <si>
    <t>CS06</t>
  </si>
  <si>
    <t>ZFV 886 GP</t>
  </si>
  <si>
    <t>CS07</t>
  </si>
  <si>
    <t>YTC 291 GP</t>
  </si>
  <si>
    <t>CS08</t>
  </si>
  <si>
    <t>CN2 2MD GP</t>
  </si>
  <si>
    <t>AAZ 0018</t>
  </si>
  <si>
    <t>AAZ 0021</t>
  </si>
  <si>
    <t>AAZ 0022</t>
  </si>
  <si>
    <t>AAZ 0024</t>
  </si>
  <si>
    <t>AAZ 0025</t>
  </si>
  <si>
    <t>AAZ 0026</t>
  </si>
  <si>
    <t>AAZ 0028</t>
  </si>
  <si>
    <t>AAZ 0029</t>
  </si>
  <si>
    <t>AAZ 0032</t>
  </si>
  <si>
    <t>AAZ 0034</t>
  </si>
  <si>
    <t>BL5 1XX GP</t>
  </si>
  <si>
    <t>BL5 1XY GP</t>
  </si>
  <si>
    <t>CV5 1HX GP</t>
  </si>
  <si>
    <t>CV5 1JB GP</t>
  </si>
  <si>
    <t>DZ7 6RL GP</t>
  </si>
  <si>
    <t>RKC 795 GP</t>
  </si>
  <si>
    <t>RKH 026 GP</t>
  </si>
  <si>
    <t>TPN 492 GP</t>
  </si>
  <si>
    <t>TPN 501 GP</t>
  </si>
  <si>
    <t>XWC 995 GP</t>
  </si>
  <si>
    <t>XWD 048 GP</t>
  </si>
  <si>
    <t>UF1 ABORT</t>
  </si>
  <si>
    <t>FLEET #</t>
  </si>
  <si>
    <t>TRUCK REG #</t>
  </si>
  <si>
    <t>TS STATUS</t>
  </si>
  <si>
    <t>LAST ODOMETER</t>
  </si>
  <si>
    <t>PRODUCT</t>
  </si>
  <si>
    <t>OPEN TS REF</t>
  </si>
  <si>
    <t>CLOSED</t>
  </si>
  <si>
    <t>TRAILER REG #</t>
  </si>
  <si>
    <t>DRIVERS</t>
  </si>
  <si>
    <t>TRIP</t>
  </si>
  <si>
    <t>BANK ISSUE DATE</t>
  </si>
  <si>
    <t>CD3 #</t>
  </si>
  <si>
    <t>CD3 FOR TRANSFER</t>
  </si>
  <si>
    <t>ODOMETER</t>
  </si>
  <si>
    <t xml:space="preserve"> has not been closed!</t>
  </si>
  <si>
    <t>UF2</t>
  </si>
  <si>
    <t xml:space="preserve">2ND TRAILER REG # :- </t>
  </si>
  <si>
    <t xml:space="preserve">1ST TRAILER REG # :- </t>
  </si>
  <si>
    <t xml:space="preserve">FLEET # :- </t>
  </si>
  <si>
    <t xml:space="preserve">DRIVER :- </t>
  </si>
  <si>
    <t xml:space="preserve">TRIP A :- </t>
  </si>
  <si>
    <t xml:space="preserve">PRODUCT :- </t>
  </si>
  <si>
    <t xml:space="preserve">CD3 FOR TRIP A :- </t>
  </si>
  <si>
    <t xml:space="preserve">TRIP B :- </t>
  </si>
  <si>
    <t xml:space="preserve">CD3 FOR TRIP B :- </t>
  </si>
  <si>
    <t xml:space="preserve">TRUCK REG # :- </t>
  </si>
  <si>
    <t>UF2 BACK</t>
  </si>
  <si>
    <t xml:space="preserve">TRUCK BLOCKED! - Trip Sheet  -  </t>
  </si>
  <si>
    <t>FULL TANK</t>
  </si>
  <si>
    <t>CHECK UF2</t>
  </si>
  <si>
    <t>FILE NAME</t>
  </si>
  <si>
    <t>.xlsm</t>
  </si>
  <si>
    <t>TS #</t>
  </si>
  <si>
    <t>DATE AS TEXT</t>
  </si>
  <si>
    <t>SPACE</t>
  </si>
  <si>
    <t xml:space="preserve"> </t>
  </si>
  <si>
    <t xml:space="preserve">START FUEL :- </t>
  </si>
  <si>
    <t xml:space="preserve">START FUEL EST :- </t>
  </si>
  <si>
    <t>SPECIAL INSTRUCTIONS</t>
  </si>
  <si>
    <t>UF 2 CHECK</t>
  </si>
  <si>
    <t>TBA</t>
  </si>
  <si>
    <t>FOR TS LOG</t>
  </si>
  <si>
    <t>UF4 TS REF SELECTION</t>
  </si>
  <si>
    <t>DATE</t>
  </si>
  <si>
    <t>DEBRIEF QUESTIONS</t>
  </si>
  <si>
    <t>RESPONSE</t>
  </si>
  <si>
    <t>COMMENT / NOTE</t>
  </si>
  <si>
    <t>AUTH</t>
  </si>
  <si>
    <t>UF4 ABORT</t>
  </si>
  <si>
    <t>UF4 TS PROCESS</t>
  </si>
  <si>
    <t>UF4 ODOMER CONTROL</t>
  </si>
  <si>
    <t xml:space="preserve">UF4 SAT TRACKING </t>
  </si>
  <si>
    <t>UF4 E-CHECK FUEL</t>
  </si>
  <si>
    <t>UF4 E-CHECK MILELAGE</t>
  </si>
  <si>
    <t>MILEAGE</t>
  </si>
  <si>
    <t>UF4 FUEL INFO</t>
  </si>
  <si>
    <t>LINE 1</t>
  </si>
  <si>
    <t>LINE 2</t>
  </si>
  <si>
    <t>LINE 3</t>
  </si>
  <si>
    <t>LINE 4</t>
  </si>
  <si>
    <t>LINE 5</t>
  </si>
  <si>
    <t>LINE 6</t>
  </si>
  <si>
    <t>LINE 7</t>
  </si>
  <si>
    <t>LITRES</t>
  </si>
  <si>
    <t>UF 4 USD DETAILS</t>
  </si>
  <si>
    <t>UF4 USD DATE</t>
  </si>
  <si>
    <t>UF4 USD VALUE</t>
  </si>
  <si>
    <t>OLDVALUE EX OPEN LOG</t>
  </si>
  <si>
    <t>NEW VALUE FOR OPEN LOG</t>
  </si>
  <si>
    <t>!!!!! LINE BELOW USED FOR LOG TRANSFER</t>
  </si>
  <si>
    <t>NO</t>
  </si>
  <si>
    <t>SUBJECT</t>
  </si>
  <si>
    <t>BODY</t>
  </si>
  <si>
    <t>DYNAMIC EMAIL</t>
  </si>
  <si>
    <t xml:space="preserve">C&amp;E Farming - Attached Copy of Completed Trip Sheet. Sent - </t>
  </si>
  <si>
    <t>REGISTERED</t>
  </si>
  <si>
    <t>ZIM</t>
  </si>
  <si>
    <t>RSA</t>
  </si>
  <si>
    <t>OPEN</t>
  </si>
  <si>
    <t>UF3 AUTH</t>
  </si>
  <si>
    <t>CAROL</t>
  </si>
  <si>
    <t>DUNCAN</t>
  </si>
  <si>
    <t>GARY</t>
  </si>
  <si>
    <t>UF4 QUESTION 1</t>
  </si>
  <si>
    <t>UF4 QUESTION 2</t>
  </si>
  <si>
    <t>UF4 QUESTION 3</t>
  </si>
  <si>
    <t>UF4 QUESTION 4</t>
  </si>
  <si>
    <t>UF4 QUESTION 5</t>
  </si>
  <si>
    <t>UF4 QUESTION 6</t>
  </si>
  <si>
    <t>CD3 TRANSFER</t>
  </si>
  <si>
    <t>REGISTRATION</t>
  </si>
  <si>
    <t>RATE</t>
  </si>
  <si>
    <t>INV NUMBER</t>
  </si>
  <si>
    <t>CD3 REF</t>
  </si>
  <si>
    <t>TRIP A</t>
  </si>
  <si>
    <t>TRIP B</t>
  </si>
  <si>
    <t>Hre, ZIM - Jhb, RSA</t>
  </si>
  <si>
    <t>Hre, ZIM - Lsk, ZAM</t>
  </si>
  <si>
    <t>Jhb, RSA - Hre, ZIM</t>
  </si>
  <si>
    <t>Jhb, RSA - Lsk, ZAM</t>
  </si>
  <si>
    <t>Lsk, ZAM - Hre, ZIM</t>
  </si>
  <si>
    <t>Lsk, ZAM - Jhb, RSA</t>
  </si>
  <si>
    <t>Q1</t>
  </si>
  <si>
    <t>Q2</t>
  </si>
  <si>
    <t>Q3</t>
  </si>
  <si>
    <t>Q4</t>
  </si>
  <si>
    <t>Q5</t>
  </si>
  <si>
    <t>Q6</t>
  </si>
  <si>
    <t xml:space="preserve">Please send Rate Agreement Ref </t>
  </si>
  <si>
    <t xml:space="preserve"> Sent - </t>
  </si>
  <si>
    <t xml:space="preserve"> / </t>
  </si>
  <si>
    <t>dmellis@mweb.co.za</t>
  </si>
  <si>
    <t>Beira, MOZ - Lsk, ZAM</t>
  </si>
  <si>
    <t>Mut, ZIM - Lsk, ZAM</t>
  </si>
  <si>
    <t>Benz - HRE - JHB</t>
  </si>
  <si>
    <t>Benz - JHB - HRE</t>
  </si>
  <si>
    <t>Benz - JHB - LSK</t>
  </si>
  <si>
    <t>Benz - HRE - LSK</t>
  </si>
  <si>
    <t>CLOSED TS</t>
  </si>
  <si>
    <t>INVOICE INFO</t>
  </si>
  <si>
    <t>CLOSE</t>
  </si>
  <si>
    <t>EZI</t>
  </si>
  <si>
    <t>Are the POD's complete?</t>
  </si>
  <si>
    <t>Did the driver follow instructions / communicate satisfactorily?</t>
  </si>
  <si>
    <t>Where loads delivered in good condition? (no shortages / damages etc)</t>
  </si>
  <si>
    <t>Was the trip free of any incidents? (breakdowns / accidents / tyres / VID etc)</t>
  </si>
  <si>
    <t>Are all Permits / Licences and Insurances valid?</t>
  </si>
  <si>
    <t>3561 7-2-16 C12 LLOYD Jhb, RSA - Hre, ZIM</t>
  </si>
  <si>
    <t>TRIP SHEET # :-</t>
  </si>
  <si>
    <t>REF:-</t>
  </si>
  <si>
    <t>START DATE :-</t>
  </si>
  <si>
    <t># DAYS</t>
  </si>
  <si>
    <t>ODOMETER :-</t>
  </si>
  <si>
    <t>TRIP DISTANCE</t>
  </si>
  <si>
    <t>END DATE :-</t>
  </si>
  <si>
    <t>DRIVER :-</t>
  </si>
  <si>
    <t>FLEET # :-</t>
  </si>
  <si>
    <t>TRUCK REG</t>
  </si>
  <si>
    <t>TRAILER 1 REG</t>
  </si>
  <si>
    <t>TRAILER 2 REG</t>
  </si>
  <si>
    <t>TRIP A :-</t>
  </si>
  <si>
    <t>TRIP B :-</t>
  </si>
  <si>
    <t>PRODUCT :-</t>
  </si>
  <si>
    <t>TOBACCO</t>
  </si>
  <si>
    <t>COPPER</t>
  </si>
  <si>
    <t>CD3 # :-</t>
  </si>
  <si>
    <t>CD3 REF :-</t>
  </si>
  <si>
    <t>USD CASH RECONCILIATIONS</t>
  </si>
  <si>
    <t>DETAILS</t>
  </si>
  <si>
    <t>CREDIT</t>
  </si>
  <si>
    <t>DEBIT</t>
  </si>
  <si>
    <t>BALANCE</t>
  </si>
  <si>
    <t>RAND CASH RECONCILIATIONS</t>
  </si>
  <si>
    <t xml:space="preserve">FUEL </t>
  </si>
  <si>
    <t>LOCATION</t>
  </si>
  <si>
    <t>LITERS</t>
  </si>
  <si>
    <t>KM</t>
  </si>
  <si>
    <t>CONS.</t>
  </si>
  <si>
    <t>SAT TRACK KM :-</t>
  </si>
  <si>
    <t>TOTAL FUEL :-</t>
  </si>
  <si>
    <t>TOTAL KM :-</t>
  </si>
  <si>
    <t>E - CHECK FUEL :-</t>
  </si>
  <si>
    <t>E - CHECK KM :-</t>
  </si>
  <si>
    <t>ATTENTION!!</t>
  </si>
  <si>
    <t>HARARE</t>
  </si>
  <si>
    <t>START FUEL</t>
  </si>
  <si>
    <t>USD TRANSFER</t>
  </si>
  <si>
    <t>RAND TRANSFER</t>
  </si>
  <si>
    <t>CLOSED DATE</t>
  </si>
  <si>
    <t>CLOSED LOCATION</t>
  </si>
  <si>
    <t>FUEL ISSUED</t>
  </si>
  <si>
    <t>ACZ 2071</t>
  </si>
  <si>
    <t>KAUNDA</t>
  </si>
  <si>
    <t>UF4 USD TRANSFER</t>
  </si>
  <si>
    <t>UF4 RAND TRANSFER</t>
  </si>
  <si>
    <t>LAST FUEL DATE</t>
  </si>
  <si>
    <t>LAST FUEL LOCATION</t>
  </si>
  <si>
    <t>START NEW</t>
  </si>
  <si>
    <t>XXXX</t>
  </si>
  <si>
    <t>ACL 5864</t>
  </si>
  <si>
    <t>MYZ 735 GP</t>
  </si>
  <si>
    <t>TRIP SHEET PETTY CASH</t>
  </si>
  <si>
    <t>Harare</t>
  </si>
  <si>
    <t>EMPTY</t>
  </si>
  <si>
    <t>3565 13-2-16 CE05 MAXWELL Hre, ZIM - Jhb, RSA</t>
  </si>
  <si>
    <t>garyuk6@gmail.com</t>
  </si>
  <si>
    <t>TANKER</t>
  </si>
  <si>
    <t>Clearing fees</t>
  </si>
  <si>
    <t>TOLL GATES AND ROAD ACCESS</t>
  </si>
  <si>
    <t>EXCHANGED TO NAD FOR WFS @ 15.560</t>
  </si>
  <si>
    <t>EXCHANGED TO PULA @ 9.50</t>
  </si>
  <si>
    <t>ZAMBIAN CLEARING</t>
  </si>
  <si>
    <t>EXCHANGED TO NAD FOR TOLLS @ 11</t>
  </si>
  <si>
    <t>EXCHANGED TO KW @ 10</t>
  </si>
  <si>
    <t>ZAM TOLL FEE</t>
  </si>
  <si>
    <t>ECHANGED TO NAD</t>
  </si>
  <si>
    <t xml:space="preserve">WFS INVOICE </t>
  </si>
  <si>
    <t>TOLL FEES</t>
  </si>
  <si>
    <t>AUTO - ELECTRICIAN</t>
  </si>
  <si>
    <t>POLICE SPAREWHEEL</t>
  </si>
  <si>
    <t>CABLE, BULBS AND INSULATION/ PARKING 150</t>
  </si>
  <si>
    <t>CHANGE 250.45 AND AIRTIME 86</t>
  </si>
  <si>
    <t>Mamuno</t>
  </si>
  <si>
    <t>Swapo</t>
  </si>
  <si>
    <t>Mount Meru</t>
  </si>
  <si>
    <t>3716 13-7-16 Benz CLEVER Benz - HRE - JHB</t>
  </si>
  <si>
    <t>3720 16-7-16 C14 MAXWELL HRE - BEIRA</t>
  </si>
  <si>
    <t>3719 16-7-16 C8 GEORGE Lsk, ZAM - Jhb, RSA</t>
  </si>
  <si>
    <t>3715 13-7-16 C9 SAMUEL Lsk, ZAM - Jhb, RSA</t>
  </si>
  <si>
    <t>3722 18-7-16 CE01 YORAMU Beira, MOZ - Lsk, ZAM</t>
  </si>
  <si>
    <t>3713 12-7-16 CE05 GUZHA Lsk, ZAM - Jhb, RSA</t>
  </si>
  <si>
    <t>3718 16-7-16 CS02 TATENDA Lsk, ZAM - Jhb, RSA</t>
  </si>
  <si>
    <t>3723 21-7-16 CS03 WELLINGTON Lsk, ZAM - Jhb, RSA</t>
  </si>
  <si>
    <t>3724 23-7-16 CS04 REGIS Lsk, ZAM - Jhb, RSA</t>
  </si>
  <si>
    <t>3712 12-7-16 CS05 LLOYD Hre, ZIM - Jhb, RSA</t>
  </si>
  <si>
    <t>3721 18-7-16 CS08 JULIUS Lsk, ZAM - Jhb, RSA</t>
  </si>
  <si>
    <t>3714 12-7-16 EZI KAUNDA Hre, ZIM - Jhb, RSA</t>
  </si>
  <si>
    <t>ACQ8919</t>
  </si>
  <si>
    <t>PETER</t>
  </si>
  <si>
    <t>HRE - BEIRA</t>
  </si>
  <si>
    <t>HRE - DRC</t>
  </si>
  <si>
    <t>DRC - Hre</t>
  </si>
  <si>
    <t>BENZ - LSK - JHB</t>
  </si>
  <si>
    <t>MTRE,ZIM - LUMB, DRC</t>
  </si>
  <si>
    <t/>
  </si>
  <si>
    <t>COMMENTS UF3 TB1</t>
  </si>
  <si>
    <t>3725 20-1-17 C11 KAUNDA Hre, ZIM - Jhb, RSA</t>
  </si>
  <si>
    <t>normal comments typing</t>
  </si>
  <si>
    <t>Have the Driver Report Book AND the Trip Reconciliation been completed correctly?</t>
  </si>
  <si>
    <t>SOLOMON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</si>
</sst>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Z$&quot;* #,##0.00_);_(&quot;Z$&quot;* \(#,##0.00\);_(&quot;Z$&quot;* &quot;-&quot;??_);_(@_)"/>
    <numFmt numFmtId="165" formatCode="d/m/yyyy\ h:mm"/>
    <numFmt numFmtId="166" formatCode="[$ZAR]\ #,##0.00_);[Red]\([$ZAR]\ #,##0.00\)"/>
    <numFmt numFmtId="167" formatCode="[$-3009]dd\-mmm\-yy;@"/>
    <numFmt numFmtId="168" formatCode="[$$-409]#,##0.00_);[Red]\([$$-409]#,##0.00\)"/>
    <numFmt numFmtId="169" formatCode="[$ZAR]\ 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6" fontId="0" fillId="0" borderId="0"/>
    <xf numFmtId="164" fontId="1" fillId="0" borderId="0" applyFont="0" applyFill="0" applyBorder="0" applyAlignment="0" applyProtection="0"/>
    <xf numFmtId="166" fontId="3" fillId="0" borderId="0" applyNumberFormat="0" applyFill="0" applyBorder="0" applyAlignment="0" applyProtection="0"/>
    <xf numFmtId="166" fontId="4" fillId="0" borderId="0"/>
    <xf numFmtId="0" fontId="1" fillId="0" borderId="0"/>
  </cellStyleXfs>
  <cellXfs count="62">
    <xf numFmtId="166" fontId="0" fillId="0" borderId="0" xfId="0"/>
    <xf numFmtId="166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6" fontId="3" fillId="0" borderId="0" xfId="2"/>
    <xf numFmtId="167" fontId="2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0" fontId="2" fillId="0" borderId="0" xfId="1" applyNumberFormat="1" applyFont="1" applyAlignment="1">
      <alignment horizontal="center"/>
    </xf>
    <xf numFmtId="0" fontId="0" fillId="0" borderId="0" xfId="1" applyNumberFormat="1" applyFont="1"/>
    <xf numFmtId="0" fontId="2" fillId="0" borderId="0" xfId="0" applyNumberFormat="1" applyFont="1" applyAlignment="1">
      <alignment horizontal="left"/>
    </xf>
    <xf numFmtId="0" fontId="3" fillId="0" borderId="0" xfId="2" applyNumberFormat="1"/>
    <xf numFmtId="0" fontId="0" fillId="0" borderId="0" xfId="0" quotePrefix="1" applyNumberFormat="1"/>
    <xf numFmtId="0" fontId="4" fillId="0" borderId="0" xfId="3" applyNumberFormat="1"/>
    <xf numFmtId="0" fontId="2" fillId="0" borderId="0" xfId="4" applyFont="1" applyAlignment="1">
      <alignment horizontal="right" vertical="center"/>
    </xf>
    <xf numFmtId="0" fontId="1" fillId="0" borderId="4" xfId="4" applyBorder="1" applyAlignment="1">
      <alignment horizontal="center" vertical="center"/>
    </xf>
    <xf numFmtId="0" fontId="1" fillId="0" borderId="0" xfId="4" applyAlignment="1">
      <alignment vertical="center"/>
    </xf>
    <xf numFmtId="0" fontId="5" fillId="0" borderId="1" xfId="4" applyFont="1" applyBorder="1" applyAlignment="1">
      <alignment vertical="center"/>
    </xf>
    <xf numFmtId="0" fontId="1" fillId="0" borderId="3" xfId="4" applyBorder="1" applyAlignment="1">
      <alignment vertical="center"/>
    </xf>
    <xf numFmtId="0" fontId="1" fillId="0" borderId="0" xfId="4"/>
    <xf numFmtId="167" fontId="1" fillId="0" borderId="4" xfId="4" applyNumberFormat="1" applyBorder="1" applyAlignment="1">
      <alignment horizontal="center" vertical="center"/>
    </xf>
    <xf numFmtId="0" fontId="2" fillId="0" borderId="0" xfId="4" applyFont="1" applyAlignment="1">
      <alignment horizontal="center" vertical="center"/>
    </xf>
    <xf numFmtId="38" fontId="1" fillId="0" borderId="4" xfId="4" applyNumberFormat="1" applyBorder="1" applyAlignment="1">
      <alignment horizontal="center" vertical="center"/>
    </xf>
    <xf numFmtId="0" fontId="2" fillId="0" borderId="0" xfId="4" applyFont="1" applyAlignment="1">
      <alignment vertical="center"/>
    </xf>
    <xf numFmtId="0" fontId="1" fillId="0" borderId="1" xfId="4" applyBorder="1" applyAlignment="1">
      <alignment vertical="center"/>
    </xf>
    <xf numFmtId="0" fontId="1" fillId="0" borderId="1" xfId="4" applyBorder="1" applyAlignment="1">
      <alignment horizontal="left" vertical="center"/>
    </xf>
    <xf numFmtId="0" fontId="1" fillId="0" borderId="4" xfId="4" applyBorder="1" applyAlignment="1">
      <alignment horizontal="left" vertical="center"/>
    </xf>
    <xf numFmtId="0" fontId="1" fillId="0" borderId="4" xfId="4" applyBorder="1" applyAlignment="1">
      <alignment vertical="center"/>
    </xf>
    <xf numFmtId="0" fontId="2" fillId="2" borderId="0" xfId="4" applyFont="1" applyFill="1" applyAlignment="1">
      <alignment horizontal="center" vertical="center"/>
    </xf>
    <xf numFmtId="168" fontId="1" fillId="0" borderId="4" xfId="4" applyNumberFormat="1" applyBorder="1" applyAlignment="1">
      <alignment vertical="center"/>
    </xf>
    <xf numFmtId="166" fontId="1" fillId="0" borderId="4" xfId="4" applyNumberFormat="1" applyBorder="1" applyAlignment="1">
      <alignment vertical="center"/>
    </xf>
    <xf numFmtId="167" fontId="1" fillId="0" borderId="0" xfId="4" applyNumberFormat="1" applyAlignment="1">
      <alignment horizontal="center" vertical="center"/>
    </xf>
    <xf numFmtId="169" fontId="1" fillId="0" borderId="0" xfId="4" applyNumberFormat="1" applyAlignment="1">
      <alignment vertical="center"/>
    </xf>
    <xf numFmtId="0" fontId="2" fillId="0" borderId="0" xfId="4" applyFont="1"/>
    <xf numFmtId="4" fontId="1" fillId="0" borderId="4" xfId="4" applyNumberFormat="1" applyBorder="1" applyAlignment="1">
      <alignment horizontal="center" vertical="center"/>
    </xf>
    <xf numFmtId="3" fontId="1" fillId="0" borderId="4" xfId="4" applyNumberFormat="1" applyBorder="1" applyAlignment="1">
      <alignment horizontal="center" vertical="center"/>
    </xf>
    <xf numFmtId="2" fontId="1" fillId="0" borderId="4" xfId="4" applyNumberFormat="1" applyBorder="1" applyAlignment="1">
      <alignment horizontal="center" vertical="center"/>
    </xf>
    <xf numFmtId="2" fontId="1" fillId="2" borderId="4" xfId="4" applyNumberFormat="1" applyFill="1" applyBorder="1" applyAlignment="1">
      <alignment horizontal="center" vertical="center"/>
    </xf>
    <xf numFmtId="4" fontId="1" fillId="0" borderId="0" xfId="4" applyNumberFormat="1" applyAlignment="1">
      <alignment horizontal="right" vertical="center"/>
    </xf>
    <xf numFmtId="166" fontId="0" fillId="0" borderId="0" xfId="0" applyAlignment="1">
      <alignment horizontal="center"/>
    </xf>
    <xf numFmtId="167" fontId="0" fillId="0" borderId="0" xfId="0" applyNumberFormat="1" applyAlignment="1">
      <alignment horizontal="center" vertical="top"/>
    </xf>
    <xf numFmtId="167" fontId="2" fillId="0" borderId="0" xfId="0" applyNumberFormat="1" applyFont="1" applyAlignment="1">
      <alignment horizontal="center" vertical="top"/>
    </xf>
    <xf numFmtId="40" fontId="0" fillId="0" borderId="0" xfId="0" applyNumberFormat="1"/>
    <xf numFmtId="168" fontId="0" fillId="0" borderId="0" xfId="0" applyNumberFormat="1"/>
    <xf numFmtId="40" fontId="2" fillId="0" borderId="0" xfId="0" applyNumberFormat="1" applyFont="1" applyAlignment="1">
      <alignment horizontal="center"/>
    </xf>
    <xf numFmtId="168" fontId="2" fillId="0" borderId="0" xfId="0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14" fontId="0" fillId="0" borderId="0" xfId="0" applyNumberFormat="1" applyAlignment="1">
      <alignment horizontal="left"/>
    </xf>
    <xf numFmtId="166" fontId="6" fillId="0" borderId="0" xfId="0" applyFont="1" applyAlignment="1">
      <alignment horizontal="left" vertical="center" indent="5"/>
    </xf>
    <xf numFmtId="166" fontId="0" fillId="0" borderId="0" xfId="0" applyAlignment="1">
      <alignment horizontal="left" wrapText="1"/>
    </xf>
    <xf numFmtId="166" fontId="0" fillId="0" borderId="0" xfId="0" quotePrefix="1" applyAlignment="1">
      <alignment horizontal="center"/>
    </xf>
    <xf numFmtId="166" fontId="0" fillId="0" borderId="0" xfId="0" applyAlignment="1">
      <alignment wrapText="1"/>
    </xf>
    <xf numFmtId="0" fontId="0" fillId="0" borderId="1" xfId="0" applyNumberFormat="1" applyBorder="1" applyAlignment="1">
      <alignment horizontal="left" vertical="top" wrapText="1"/>
    </xf>
    <xf numFmtId="0" fontId="0" fillId="0" borderId="2" xfId="0" applyNumberFormat="1" applyBorder="1" applyAlignment="1">
      <alignment horizontal="left" vertical="top" wrapText="1"/>
    </xf>
    <xf numFmtId="0" fontId="0" fillId="0" borderId="3" xfId="0" applyNumberFormat="1" applyBorder="1" applyAlignment="1">
      <alignment horizontal="left" vertical="top" wrapText="1"/>
    </xf>
    <xf numFmtId="0" fontId="2" fillId="0" borderId="0" xfId="4" applyFont="1" applyAlignment="1">
      <alignment horizontal="center" vertical="center"/>
    </xf>
    <xf numFmtId="0" fontId="2" fillId="2" borderId="0" xfId="4" applyFont="1" applyFill="1" applyAlignment="1">
      <alignment horizontal="center" vertical="center"/>
    </xf>
    <xf numFmtId="0" fontId="1" fillId="0" borderId="1" xfId="4" applyBorder="1" applyAlignment="1">
      <alignment horizontal="left" vertical="top" wrapText="1"/>
    </xf>
    <xf numFmtId="0" fontId="1" fillId="0" borderId="2" xfId="4" applyBorder="1" applyAlignment="1">
      <alignment horizontal="left" vertical="top" wrapText="1"/>
    </xf>
    <xf numFmtId="0" fontId="1" fillId="0" borderId="3" xfId="4" applyBorder="1" applyAlignment="1">
      <alignment horizontal="left" vertical="top" wrapText="1"/>
    </xf>
  </cellXfs>
  <cellStyles count="5">
    <cellStyle name="Currency" xfId="1" builtinId="4"/>
    <cellStyle name="Hyperlink" xfId="2" builtinId="8"/>
    <cellStyle name="Normal" xfId="0" builtinId="0"/>
    <cellStyle name="Normal 2" xfId="3" xr:uid="{00000000-0005-0000-0000-000003000000}"/>
    <cellStyle name="Normal 3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mellis@mweb.co.za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L10"/>
  <sheetViews>
    <sheetView showGridLines="0" tabSelected="1" workbookViewId="0">
      <selection activeCell="D15" sqref="D15"/>
    </sheetView>
  </sheetViews>
  <sheetFormatPr defaultColWidth="9.140625" defaultRowHeight="12.75" x14ac:dyDescent="0.2"/>
  <cols>
    <col min="1" max="16384" width="9.140625" style="15"/>
  </cols>
  <sheetData>
    <row r="10" spans="12:12" ht="15" x14ac:dyDescent="0.25">
      <c r="L1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20"/>
  <sheetViews>
    <sheetView topLeftCell="A34" workbookViewId="0">
      <selection activeCell="H61" sqref="H61"/>
    </sheetView>
  </sheetViews>
  <sheetFormatPr defaultColWidth="9.140625" defaultRowHeight="15" x14ac:dyDescent="0.25"/>
  <cols>
    <col min="1" max="1" width="27.5703125" style="7" customWidth="1"/>
    <col min="2" max="2" width="34.5703125" style="7" customWidth="1"/>
    <col min="3" max="3" width="32.5703125" style="7" customWidth="1"/>
    <col min="4" max="4" width="19.140625" style="7" customWidth="1"/>
    <col min="5" max="5" width="10.140625" style="7" customWidth="1"/>
    <col min="6" max="6" width="9.5703125" style="7" customWidth="1"/>
    <col min="7" max="16384" width="9.140625" style="7"/>
  </cols>
  <sheetData>
    <row r="1" spans="1:4" x14ac:dyDescent="0.25">
      <c r="A1" s="7" t="s">
        <v>0</v>
      </c>
      <c r="B1" s="2">
        <f ca="1">NOW()</f>
        <v>45299.543306828702</v>
      </c>
      <c r="C1" s="5">
        <f ca="1">TODAY()</f>
        <v>45299</v>
      </c>
    </row>
    <row r="2" spans="1:4" x14ac:dyDescent="0.25">
      <c r="A2" s="7" t="s">
        <v>141</v>
      </c>
      <c r="B2" s="13" t="s">
        <v>179</v>
      </c>
    </row>
    <row r="3" spans="1:4" x14ac:dyDescent="0.25">
      <c r="A3" s="7" t="s">
        <v>146</v>
      </c>
    </row>
    <row r="4" spans="1:4" x14ac:dyDescent="0.25">
      <c r="A4" s="7" t="s">
        <v>67</v>
      </c>
    </row>
    <row r="5" spans="1:4" x14ac:dyDescent="0.25">
      <c r="A5" s="7" t="s">
        <v>86</v>
      </c>
      <c r="B5" s="7" t="s">
        <v>18</v>
      </c>
    </row>
    <row r="7" spans="1:4" x14ac:dyDescent="0.25">
      <c r="A7" s="7" t="s">
        <v>85</v>
      </c>
      <c r="B7" s="7" t="s">
        <v>51</v>
      </c>
    </row>
    <row r="8" spans="1:4" x14ac:dyDescent="0.25">
      <c r="A8" s="7" t="s">
        <v>84</v>
      </c>
    </row>
    <row r="9" spans="1:4" x14ac:dyDescent="0.25">
      <c r="A9" s="7" t="s">
        <v>87</v>
      </c>
      <c r="B9" s="7" t="s">
        <v>14</v>
      </c>
    </row>
    <row r="10" spans="1:4" x14ac:dyDescent="0.25">
      <c r="A10" s="7" t="s">
        <v>88</v>
      </c>
    </row>
    <row r="11" spans="1:4" x14ac:dyDescent="0.25">
      <c r="A11" s="7" t="s">
        <v>89</v>
      </c>
      <c r="C11" s="8" t="str">
        <f>UPPER(B11)</f>
        <v/>
      </c>
    </row>
    <row r="12" spans="1:4" x14ac:dyDescent="0.25">
      <c r="A12" s="7" t="s">
        <v>90</v>
      </c>
      <c r="C12" s="5"/>
    </row>
    <row r="13" spans="1:4" x14ac:dyDescent="0.25">
      <c r="A13" s="7" t="s">
        <v>91</v>
      </c>
      <c r="B13" s="8"/>
      <c r="C13" s="9"/>
    </row>
    <row r="14" spans="1:4" x14ac:dyDescent="0.25">
      <c r="A14" s="7" t="s">
        <v>89</v>
      </c>
      <c r="B14" s="8"/>
      <c r="C14" s="8" t="str">
        <f>UPPER(B14)</f>
        <v/>
      </c>
    </row>
    <row r="15" spans="1:4" x14ac:dyDescent="0.25">
      <c r="A15" s="7" t="s">
        <v>92</v>
      </c>
      <c r="C15" s="5"/>
      <c r="D15" s="5"/>
    </row>
    <row r="16" spans="1:4" x14ac:dyDescent="0.25">
      <c r="A16" s="7" t="s">
        <v>93</v>
      </c>
      <c r="B16" s="8" t="s">
        <v>19</v>
      </c>
      <c r="C16" s="7" t="s">
        <v>236</v>
      </c>
      <c r="D16" s="5"/>
    </row>
    <row r="17" spans="1:4" x14ac:dyDescent="0.25">
      <c r="A17" s="7" t="s">
        <v>70</v>
      </c>
      <c r="B17" s="8" t="s">
        <v>74</v>
      </c>
      <c r="C17" s="7" t="s">
        <v>237</v>
      </c>
    </row>
    <row r="18" spans="1:4" x14ac:dyDescent="0.25">
      <c r="A18" s="7" t="s">
        <v>81</v>
      </c>
      <c r="B18" s="48">
        <v>12000</v>
      </c>
      <c r="C18" s="7" t="s">
        <v>238</v>
      </c>
      <c r="D18" s="44"/>
    </row>
    <row r="19" spans="1:4" x14ac:dyDescent="0.25">
      <c r="A19" s="7" t="s">
        <v>80</v>
      </c>
      <c r="C19" s="7" t="s">
        <v>81</v>
      </c>
      <c r="D19" s="48"/>
    </row>
    <row r="20" spans="1:4" x14ac:dyDescent="0.25">
      <c r="A20" s="7" t="s">
        <v>72</v>
      </c>
      <c r="B20" s="8"/>
      <c r="C20" s="7" t="s">
        <v>234</v>
      </c>
      <c r="D20" s="45"/>
    </row>
    <row r="21" spans="1:4" x14ac:dyDescent="0.25">
      <c r="A21" s="7" t="s">
        <v>73</v>
      </c>
      <c r="B21" s="8"/>
      <c r="C21" s="7" t="s">
        <v>235</v>
      </c>
      <c r="D21"/>
    </row>
    <row r="22" spans="1:4" x14ac:dyDescent="0.25">
      <c r="A22" s="7" t="s">
        <v>158</v>
      </c>
      <c r="B22" s="7" t="s">
        <v>144</v>
      </c>
    </row>
    <row r="23" spans="1:4" x14ac:dyDescent="0.25">
      <c r="A23" s="7" t="s">
        <v>95</v>
      </c>
      <c r="B23" s="7" t="s">
        <v>82</v>
      </c>
    </row>
    <row r="24" spans="1:4" x14ac:dyDescent="0.25">
      <c r="B24" s="7" t="str">
        <f>A23&amp;B21&amp;B23</f>
        <v>TRUCK BLOCKED! - Trip Sheet  -   has not been closed!</v>
      </c>
    </row>
    <row r="25" spans="1:4" x14ac:dyDescent="0.25">
      <c r="A25" s="7" t="s">
        <v>1</v>
      </c>
    </row>
    <row r="27" spans="1:4" x14ac:dyDescent="0.25">
      <c r="A27" s="7" t="s">
        <v>83</v>
      </c>
      <c r="B27" s="7" t="str">
        <f>A5&amp;B5</f>
        <v>FLEET # :- C11</v>
      </c>
    </row>
    <row r="28" spans="1:4" x14ac:dyDescent="0.25">
      <c r="A28" s="7" t="s">
        <v>83</v>
      </c>
      <c r="B28" s="7" t="str">
        <f>A16&amp;B16</f>
        <v>TRUCK REG # :- ACE 0621</v>
      </c>
    </row>
    <row r="29" spans="1:4" x14ac:dyDescent="0.25">
      <c r="A29" s="7" t="s">
        <v>83</v>
      </c>
      <c r="B29" s="7" t="str">
        <f>A7&amp;B7</f>
        <v>1ST TRAILER REG # :- AAZ 0026</v>
      </c>
    </row>
    <row r="30" spans="1:4" x14ac:dyDescent="0.25">
      <c r="A30" s="7" t="s">
        <v>83</v>
      </c>
      <c r="B30" s="7" t="str">
        <f>IF(B8="","",A8&amp;B8)</f>
        <v/>
      </c>
    </row>
    <row r="31" spans="1:4" x14ac:dyDescent="0.25">
      <c r="A31" s="7" t="s">
        <v>83</v>
      </c>
      <c r="B31" s="7" t="str">
        <f>A9&amp;B9</f>
        <v>DRIVER :- JULIUS</v>
      </c>
    </row>
    <row r="32" spans="1:4" x14ac:dyDescent="0.25">
      <c r="A32" s="7" t="s">
        <v>83</v>
      </c>
      <c r="B32" s="7" t="str">
        <f>A10&amp;B10</f>
        <v xml:space="preserve">TRIP A :- </v>
      </c>
    </row>
    <row r="33" spans="1:5" x14ac:dyDescent="0.25">
      <c r="A33" s="7" t="s">
        <v>83</v>
      </c>
      <c r="B33" s="7" t="str">
        <f>IF(B11="",A11&amp;"UNKNOWN",A11&amp;C11)</f>
        <v>PRODUCT :- UNKNOWN</v>
      </c>
    </row>
    <row r="34" spans="1:5" x14ac:dyDescent="0.25">
      <c r="A34" s="7" t="s">
        <v>83</v>
      </c>
      <c r="B34" s="7" t="str">
        <f>A12&amp;B12</f>
        <v xml:space="preserve">CD3 FOR TRIP A :- </v>
      </c>
    </row>
    <row r="35" spans="1:5" x14ac:dyDescent="0.25">
      <c r="A35" s="7" t="s">
        <v>83</v>
      </c>
      <c r="B35" s="7" t="str">
        <f>A13&amp;B13</f>
        <v xml:space="preserve">TRIP B :- </v>
      </c>
    </row>
    <row r="36" spans="1:5" x14ac:dyDescent="0.25">
      <c r="A36" s="7" t="s">
        <v>83</v>
      </c>
      <c r="B36" s="7" t="str">
        <f>IF(B14="",A14&amp;"UNKNOWN",A14&amp;C14)</f>
        <v>PRODUCT :- UNKNOWN</v>
      </c>
    </row>
    <row r="37" spans="1:5" x14ac:dyDescent="0.25">
      <c r="A37" s="7" t="s">
        <v>83</v>
      </c>
      <c r="B37" s="7" t="str">
        <f>A15&amp;B15</f>
        <v xml:space="preserve">CD3 FOR TRIP B :- </v>
      </c>
    </row>
    <row r="38" spans="1:5" x14ac:dyDescent="0.25">
      <c r="A38" s="7" t="s">
        <v>94</v>
      </c>
    </row>
    <row r="41" spans="1:5" x14ac:dyDescent="0.25">
      <c r="A41" s="7" t="s">
        <v>233</v>
      </c>
    </row>
    <row r="42" spans="1:5" x14ac:dyDescent="0.25">
      <c r="A42" s="7" t="s">
        <v>222</v>
      </c>
      <c r="B42" s="7" t="s">
        <v>232</v>
      </c>
    </row>
    <row r="43" spans="1:5" x14ac:dyDescent="0.25">
      <c r="A43" s="7" t="s">
        <v>131</v>
      </c>
      <c r="C43" s="7" t="b">
        <f>ISNUMBER(B43)</f>
        <v>0</v>
      </c>
    </row>
    <row r="44" spans="1:5" x14ac:dyDescent="0.25">
      <c r="A44" s="7" t="s">
        <v>97</v>
      </c>
      <c r="B44" s="14"/>
      <c r="D44" s="14"/>
    </row>
    <row r="45" spans="1:5" x14ac:dyDescent="0.25">
      <c r="A45" s="7" t="s">
        <v>104</v>
      </c>
    </row>
    <row r="46" spans="1:5" x14ac:dyDescent="0.25">
      <c r="A46" s="7" t="s">
        <v>105</v>
      </c>
    </row>
    <row r="47" spans="1:5" x14ac:dyDescent="0.25">
      <c r="A47" s="7" t="s">
        <v>100</v>
      </c>
      <c r="B47" s="9">
        <v>3568</v>
      </c>
      <c r="D47" s="7" t="str">
        <f>B47&amp;"A"</f>
        <v>3568A</v>
      </c>
      <c r="E47" s="7" t="str">
        <f>B47&amp;"B"</f>
        <v>3568B</v>
      </c>
    </row>
    <row r="48" spans="1:5" x14ac:dyDescent="0.25">
      <c r="A48" s="7" t="s">
        <v>101</v>
      </c>
      <c r="B48" s="7" t="str">
        <f ca="1">TEXT($C$1,"d-m-y")</f>
        <v>8-1-24</v>
      </c>
    </row>
    <row r="49" spans="1:7" x14ac:dyDescent="0.25">
      <c r="A49" s="7" t="s">
        <v>102</v>
      </c>
      <c r="B49" s="7" t="s">
        <v>103</v>
      </c>
    </row>
    <row r="50" spans="1:7" x14ac:dyDescent="0.25">
      <c r="A50" s="7" t="s">
        <v>98</v>
      </c>
      <c r="B50" s="7" t="str">
        <f ca="1">B47&amp;B49&amp;B48&amp;B49&amp;B5&amp;B49&amp;B9&amp;B49&amp;B10</f>
        <v xml:space="preserve">3568 8-1-24 C11 JULIUS </v>
      </c>
      <c r="C50" s="7" t="s">
        <v>99</v>
      </c>
      <c r="D50" s="7" t="str">
        <f ca="1">B50&amp;C50</f>
        <v>3568 8-1-24 C11 JULIUS .xlsm</v>
      </c>
    </row>
    <row r="51" spans="1:7" x14ac:dyDescent="0.25">
      <c r="A51" s="7" t="s">
        <v>293</v>
      </c>
      <c r="B51" s="9"/>
    </row>
    <row r="52" spans="1:7" x14ac:dyDescent="0.25">
      <c r="A52" s="7" t="s">
        <v>106</v>
      </c>
      <c r="B52" s="54"/>
      <c r="C52" s="55"/>
      <c r="D52" s="55"/>
      <c r="E52" s="55"/>
      <c r="F52" s="55"/>
      <c r="G52" s="56"/>
    </row>
    <row r="53" spans="1:7" x14ac:dyDescent="0.25">
      <c r="A53" s="7" t="s">
        <v>107</v>
      </c>
    </row>
    <row r="54" spans="1:7" x14ac:dyDescent="0.25">
      <c r="A54" s="7" t="s">
        <v>109</v>
      </c>
    </row>
    <row r="56" spans="1:7" x14ac:dyDescent="0.25">
      <c r="A56" s="7" t="s">
        <v>147</v>
      </c>
      <c r="G56" s="7" t="s">
        <v>148</v>
      </c>
    </row>
    <row r="57" spans="1:7" x14ac:dyDescent="0.25">
      <c r="G57" s="7" t="s">
        <v>149</v>
      </c>
    </row>
    <row r="58" spans="1:7" x14ac:dyDescent="0.25">
      <c r="G58" s="7" t="s">
        <v>297</v>
      </c>
    </row>
    <row r="59" spans="1:7" x14ac:dyDescent="0.25">
      <c r="A59" s="7" t="s">
        <v>116</v>
      </c>
    </row>
    <row r="60" spans="1:7" x14ac:dyDescent="0.25">
      <c r="A60" s="7" t="s">
        <v>110</v>
      </c>
      <c r="B60" s="7" t="s">
        <v>294</v>
      </c>
      <c r="C60" s="7" t="s">
        <v>99</v>
      </c>
      <c r="D60" s="7" t="str">
        <f>B60&amp;C60</f>
        <v>3725 20-1-17 C11 KAUNDA Hre, ZIM - Jhb, RSA.xlsm</v>
      </c>
    </row>
    <row r="61" spans="1:7" x14ac:dyDescent="0.25">
      <c r="A61" s="7" t="s">
        <v>117</v>
      </c>
      <c r="B61" s="7" t="s">
        <v>188</v>
      </c>
    </row>
    <row r="63" spans="1:7" x14ac:dyDescent="0.25">
      <c r="A63" s="7" t="s">
        <v>118</v>
      </c>
      <c r="B63" s="7" t="b">
        <f>ISNUMBER(TS!E4)</f>
        <v>1</v>
      </c>
    </row>
    <row r="64" spans="1:7" x14ac:dyDescent="0.25">
      <c r="A64" s="7" t="s">
        <v>119</v>
      </c>
      <c r="B64" s="7" t="b">
        <f>ISNUMBER(TS!E49)</f>
        <v>1</v>
      </c>
    </row>
    <row r="65" spans="1:3" x14ac:dyDescent="0.25">
      <c r="A65" s="7" t="s">
        <v>120</v>
      </c>
      <c r="B65" s="7" t="b">
        <f>ISNUMBER(TS!C51)</f>
        <v>1</v>
      </c>
    </row>
    <row r="66" spans="1:3" x14ac:dyDescent="0.25">
      <c r="A66" s="7" t="s">
        <v>121</v>
      </c>
      <c r="B66" s="7" t="b">
        <f>ISNUMBER(TS!E51)</f>
        <v>0</v>
      </c>
    </row>
    <row r="68" spans="1:3" x14ac:dyDescent="0.25">
      <c r="A68" s="7" t="s">
        <v>123</v>
      </c>
      <c r="B68" s="7" t="s">
        <v>131</v>
      </c>
      <c r="C68" s="7" t="s">
        <v>122</v>
      </c>
    </row>
    <row r="69" spans="1:3" x14ac:dyDescent="0.25">
      <c r="A69" s="7" t="s">
        <v>124</v>
      </c>
      <c r="B69" s="7" t="b">
        <f>ISNUMBER(TS!C42)</f>
        <v>0</v>
      </c>
      <c r="C69" s="7" t="b">
        <f>ISNUMBER(TS!D42)</f>
        <v>1</v>
      </c>
    </row>
    <row r="70" spans="1:3" x14ac:dyDescent="0.25">
      <c r="A70" s="7" t="s">
        <v>125</v>
      </c>
      <c r="B70" s="7" t="b">
        <f>ISNUMBER(TS!C43)</f>
        <v>1</v>
      </c>
      <c r="C70" s="7" t="b">
        <f>ISNUMBER(TS!D43)</f>
        <v>1</v>
      </c>
    </row>
    <row r="71" spans="1:3" x14ac:dyDescent="0.25">
      <c r="A71" s="7" t="s">
        <v>126</v>
      </c>
      <c r="B71" s="7" t="b">
        <f>ISNUMBER(TS!C44)</f>
        <v>1</v>
      </c>
      <c r="C71" s="7" t="b">
        <f>ISNUMBER(TS!D44)</f>
        <v>1</v>
      </c>
    </row>
    <row r="72" spans="1:3" x14ac:dyDescent="0.25">
      <c r="A72" s="7" t="s">
        <v>127</v>
      </c>
      <c r="B72" s="7" t="b">
        <f>ISNUMBER(TS!C45)</f>
        <v>1</v>
      </c>
      <c r="C72" s="7" t="b">
        <f>ISNUMBER(TS!D45)</f>
        <v>1</v>
      </c>
    </row>
    <row r="73" spans="1:3" x14ac:dyDescent="0.25">
      <c r="A73" s="7" t="s">
        <v>128</v>
      </c>
      <c r="B73" s="7" t="b">
        <f>ISNUMBER(TS!C46)</f>
        <v>1</v>
      </c>
      <c r="C73" s="7" t="b">
        <f>ISNUMBER(TS!D46)</f>
        <v>1</v>
      </c>
    </row>
    <row r="74" spans="1:3" x14ac:dyDescent="0.25">
      <c r="A74" s="7" t="s">
        <v>129</v>
      </c>
      <c r="B74" s="7" t="b">
        <f>ISNUMBER(TS!C47)</f>
        <v>0</v>
      </c>
      <c r="C74" s="7" t="b">
        <f>ISNUMBER(TS!D47)</f>
        <v>0</v>
      </c>
    </row>
    <row r="75" spans="1:3" x14ac:dyDescent="0.25">
      <c r="A75" s="7" t="s">
        <v>130</v>
      </c>
      <c r="B75" s="7" t="b">
        <f>ISNUMBER(TS!C48)</f>
        <v>0</v>
      </c>
      <c r="C75" s="7" t="b">
        <f>ISNUMBER(TS!D48)</f>
        <v>0</v>
      </c>
    </row>
    <row r="79" spans="1:3" x14ac:dyDescent="0.25">
      <c r="A79" s="7" t="s">
        <v>133</v>
      </c>
      <c r="B79" s="49"/>
    </row>
    <row r="80" spans="1:3" x14ac:dyDescent="0.25">
      <c r="A80" s="7" t="s">
        <v>132</v>
      </c>
      <c r="C80" s="7" t="str">
        <f>UPPER(B80)</f>
        <v/>
      </c>
    </row>
    <row r="81" spans="1:21" x14ac:dyDescent="0.25">
      <c r="A81" s="7" t="s">
        <v>134</v>
      </c>
      <c r="C81" s="7" t="b">
        <f>ISNUMBER(B81)</f>
        <v>0</v>
      </c>
      <c r="D81" s="7">
        <f>0-B81</f>
        <v>0</v>
      </c>
    </row>
    <row r="84" spans="1:21" x14ac:dyDescent="0.25">
      <c r="A84" s="7" t="s">
        <v>137</v>
      </c>
    </row>
    <row r="85" spans="1:21" x14ac:dyDescent="0.25">
      <c r="A85" s="7">
        <v>3561</v>
      </c>
      <c r="B85" s="7">
        <v>42407</v>
      </c>
      <c r="C85" s="7">
        <v>1</v>
      </c>
      <c r="D85" s="7" t="s">
        <v>20</v>
      </c>
      <c r="E85" s="7" t="s">
        <v>21</v>
      </c>
      <c r="F85" s="7" t="s">
        <v>50</v>
      </c>
      <c r="H85" s="7" t="s">
        <v>8</v>
      </c>
      <c r="I85" s="7" t="s">
        <v>166</v>
      </c>
      <c r="J85" s="7" t="s">
        <v>211</v>
      </c>
      <c r="K85" s="7">
        <v>1120646</v>
      </c>
      <c r="L85" s="7" t="s">
        <v>164</v>
      </c>
      <c r="M85" s="7" t="s">
        <v>212</v>
      </c>
      <c r="N85" s="7">
        <v>1120647</v>
      </c>
      <c r="O85" s="7">
        <v>3000</v>
      </c>
      <c r="P85" s="7" t="s">
        <v>96</v>
      </c>
      <c r="Q85" s="7">
        <v>100</v>
      </c>
      <c r="R85" s="7">
        <v>400</v>
      </c>
      <c r="T85" s="7" t="s">
        <v>138</v>
      </c>
      <c r="U85" s="7" t="s">
        <v>195</v>
      </c>
    </row>
    <row r="90" spans="1:21" x14ac:dyDescent="0.25">
      <c r="A90" s="7" t="s">
        <v>135</v>
      </c>
      <c r="B90" s="7">
        <v>200</v>
      </c>
    </row>
    <row r="91" spans="1:21" x14ac:dyDescent="0.25">
      <c r="A91" s="7" t="s">
        <v>136</v>
      </c>
      <c r="B91" s="7">
        <f>D81+B90</f>
        <v>200</v>
      </c>
      <c r="C91" s="7">
        <f>B81+B90</f>
        <v>200</v>
      </c>
    </row>
    <row r="93" spans="1:21" x14ac:dyDescent="0.25">
      <c r="A93" s="7" t="s">
        <v>157</v>
      </c>
      <c r="B93" s="7" t="b">
        <v>0</v>
      </c>
      <c r="C93" s="7" t="b">
        <v>0</v>
      </c>
      <c r="D93" s="9">
        <f>IF(B93=TRUE,1,0)</f>
        <v>0</v>
      </c>
      <c r="E93" s="9">
        <f>IF(C93=TRUE,1,0)</f>
        <v>0</v>
      </c>
      <c r="F93" s="9">
        <f>SUM(D93:E93)</f>
        <v>0</v>
      </c>
    </row>
    <row r="94" spans="1:21" x14ac:dyDescent="0.25">
      <c r="A94" s="7" t="s">
        <v>151</v>
      </c>
      <c r="B94" s="7" t="b">
        <v>0</v>
      </c>
      <c r="C94" s="7" t="b">
        <v>0</v>
      </c>
      <c r="D94" s="9">
        <f>IF(B94=TRUE,1,0)</f>
        <v>0</v>
      </c>
      <c r="E94" s="9">
        <f>IF(C94=TRUE,1,0)</f>
        <v>0</v>
      </c>
      <c r="F94" s="9">
        <f>SUM(D94:E94)</f>
        <v>0</v>
      </c>
    </row>
    <row r="95" spans="1:21" x14ac:dyDescent="0.25">
      <c r="A95" s="7" t="s">
        <v>152</v>
      </c>
      <c r="B95" s="7" t="b">
        <v>0</v>
      </c>
      <c r="C95" s="7" t="b">
        <v>0</v>
      </c>
      <c r="D95" s="9">
        <f t="shared" ref="D95:D99" si="0">IF(B95=TRUE,1,0)</f>
        <v>0</v>
      </c>
      <c r="E95" s="9">
        <f t="shared" ref="E95:E99" si="1">IF(C95=TRUE,1,0)</f>
        <v>0</v>
      </c>
      <c r="F95" s="9">
        <f t="shared" ref="F95:F99" si="2">SUM(D95:E95)</f>
        <v>0</v>
      </c>
    </row>
    <row r="96" spans="1:21" x14ac:dyDescent="0.25">
      <c r="A96" s="7" t="s">
        <v>153</v>
      </c>
      <c r="B96" s="7" t="b">
        <v>0</v>
      </c>
      <c r="C96" s="7" t="b">
        <v>0</v>
      </c>
      <c r="D96" s="9">
        <f t="shared" si="0"/>
        <v>0</v>
      </c>
      <c r="E96" s="9">
        <f t="shared" si="1"/>
        <v>0</v>
      </c>
      <c r="F96" s="9">
        <f t="shared" si="2"/>
        <v>0</v>
      </c>
    </row>
    <row r="97" spans="1:6" x14ac:dyDescent="0.25">
      <c r="A97" s="7" t="s">
        <v>154</v>
      </c>
      <c r="B97" s="7" t="b">
        <v>0</v>
      </c>
      <c r="C97" s="7" t="b">
        <v>0</v>
      </c>
      <c r="D97" s="9">
        <f t="shared" si="0"/>
        <v>0</v>
      </c>
      <c r="E97" s="9">
        <f t="shared" si="1"/>
        <v>0</v>
      </c>
      <c r="F97" s="9">
        <f t="shared" si="2"/>
        <v>0</v>
      </c>
    </row>
    <row r="98" spans="1:6" x14ac:dyDescent="0.25">
      <c r="A98" s="7" t="s">
        <v>155</v>
      </c>
      <c r="B98" s="7" t="b">
        <v>0</v>
      </c>
      <c r="C98" s="7" t="b">
        <v>0</v>
      </c>
      <c r="D98" s="9">
        <f t="shared" si="0"/>
        <v>0</v>
      </c>
      <c r="E98" s="9">
        <f t="shared" si="1"/>
        <v>0</v>
      </c>
      <c r="F98" s="9">
        <f t="shared" si="2"/>
        <v>0</v>
      </c>
    </row>
    <row r="99" spans="1:6" x14ac:dyDescent="0.25">
      <c r="A99" s="7" t="s">
        <v>156</v>
      </c>
      <c r="B99" s="7" t="b">
        <v>0</v>
      </c>
      <c r="C99" s="7" t="b">
        <v>0</v>
      </c>
      <c r="D99" s="9">
        <f t="shared" si="0"/>
        <v>0</v>
      </c>
      <c r="E99" s="9">
        <f t="shared" si="1"/>
        <v>0</v>
      </c>
      <c r="F99" s="9">
        <f t="shared" si="2"/>
        <v>0</v>
      </c>
    </row>
    <row r="102" spans="1:6" x14ac:dyDescent="0.25">
      <c r="A102" t="s">
        <v>160</v>
      </c>
      <c r="B102" s="41">
        <v>669</v>
      </c>
      <c r="C102"/>
      <c r="D102"/>
    </row>
    <row r="103" spans="1:6" x14ac:dyDescent="0.25">
      <c r="A103" t="str">
        <f>TEXT(TS!B3,"d-m-y")</f>
        <v>13-2-16</v>
      </c>
      <c r="B103" t="str">
        <f>"INV "&amp;B102&amp;" - "</f>
        <v xml:space="preserve">INV 669 - </v>
      </c>
      <c r="C103"/>
      <c r="D103"/>
    </row>
    <row r="104" spans="1:6" x14ac:dyDescent="0.25">
      <c r="A104"/>
      <c r="B104"/>
      <c r="C104"/>
      <c r="D104"/>
    </row>
    <row r="105" spans="1:6" x14ac:dyDescent="0.25">
      <c r="A105" t="s">
        <v>160</v>
      </c>
      <c r="B105" s="41">
        <v>670</v>
      </c>
      <c r="C105"/>
      <c r="D105"/>
    </row>
    <row r="106" spans="1:6" x14ac:dyDescent="0.25">
      <c r="A106" t="str">
        <f>TEXT(TS!B3,"d-m-y")</f>
        <v>13-2-16</v>
      </c>
      <c r="B106" t="str">
        <f>"INV "&amp;B105&amp;" - "</f>
        <v xml:space="preserve">INV 670 - </v>
      </c>
      <c r="C106"/>
      <c r="D106"/>
    </row>
    <row r="107" spans="1:6" x14ac:dyDescent="0.25">
      <c r="A107" t="s">
        <v>103</v>
      </c>
      <c r="B107"/>
      <c r="C107"/>
      <c r="D107"/>
    </row>
    <row r="108" spans="1:6" x14ac:dyDescent="0.25">
      <c r="A108" s="41" t="s">
        <v>162</v>
      </c>
      <c r="B108">
        <v>12000</v>
      </c>
      <c r="C108"/>
      <c r="D108"/>
    </row>
    <row r="109" spans="1:6" x14ac:dyDescent="0.25">
      <c r="A109" t="s">
        <v>161</v>
      </c>
      <c r="B109" t="str">
        <f>B103&amp;TS!B13</f>
        <v xml:space="preserve">INV 669 - </v>
      </c>
      <c r="C109" t="s">
        <v>99</v>
      </c>
      <c r="D109" t="str">
        <f>B109&amp;C109</f>
        <v>INV 669 - .xlsm</v>
      </c>
    </row>
    <row r="110" spans="1:6" x14ac:dyDescent="0.25">
      <c r="A110" t="str">
        <f>TS!B10</f>
        <v>Hre, ZIM - Jhb, RSA</v>
      </c>
      <c r="B110" t="str">
        <f>A106&amp;A107&amp;A111&amp;A107&amp;A110</f>
        <v>13-2-16 EMPTY Hre, ZIM - Jhb, RSA</v>
      </c>
      <c r="C110"/>
      <c r="D110"/>
    </row>
    <row r="111" spans="1:6" x14ac:dyDescent="0.25">
      <c r="A111" t="str">
        <f>TS!B11</f>
        <v>EMPTY</v>
      </c>
      <c r="B111" t="str">
        <f>"("&amp;TS!E6&amp;" / "&amp;TS!B13&amp;")"</f>
        <v>(AAS 5843 / )</v>
      </c>
      <c r="C111"/>
      <c r="D111"/>
    </row>
    <row r="112" spans="1:6" x14ac:dyDescent="0.25">
      <c r="A112" s="41" t="s">
        <v>163</v>
      </c>
      <c r="B112">
        <v>5000</v>
      </c>
      <c r="C112"/>
      <c r="D112"/>
    </row>
    <row r="113" spans="1:4" x14ac:dyDescent="0.25">
      <c r="A113" t="s">
        <v>161</v>
      </c>
      <c r="B113" t="str">
        <f>B106&amp;TS!E13</f>
        <v xml:space="preserve">INV 670 - </v>
      </c>
      <c r="C113" t="s">
        <v>99</v>
      </c>
      <c r="D113" t="str">
        <f>B113&amp;C113</f>
        <v>INV 670 - .xlsm</v>
      </c>
    </row>
    <row r="114" spans="1:4" x14ac:dyDescent="0.25">
      <c r="A114" t="str">
        <f>TS!E10</f>
        <v>Jhb, RSA - Hre, ZIM</v>
      </c>
      <c r="B114" t="str">
        <f>A106&amp;A107&amp;A115&amp;A107&amp;A114</f>
        <v>13-2-16 TANKER Jhb, RSA - Hre, ZIM</v>
      </c>
      <c r="C114"/>
      <c r="D114"/>
    </row>
    <row r="115" spans="1:4" x14ac:dyDescent="0.25">
      <c r="A115" t="str">
        <f>IF(TS!E11="","",TS!E11)</f>
        <v>TANKER</v>
      </c>
      <c r="B115" t="str">
        <f>"("&amp;TS!E6&amp;" / "&amp;TS!E13&amp;")"</f>
        <v>(AAS 5843 / )</v>
      </c>
      <c r="C115"/>
      <c r="D115"/>
    </row>
    <row r="118" spans="1:4" x14ac:dyDescent="0.25">
      <c r="A118" s="7" t="s">
        <v>241</v>
      </c>
      <c r="B118" s="7" t="b">
        <v>0</v>
      </c>
      <c r="C118" s="7">
        <f>IF(B118=TRUE,1,0)</f>
        <v>0</v>
      </c>
    </row>
    <row r="119" spans="1:4" x14ac:dyDescent="0.25">
      <c r="A119" s="7" t="s">
        <v>242</v>
      </c>
      <c r="B119" s="7" t="b">
        <v>0</v>
      </c>
      <c r="C119" s="7">
        <f>IF(B119=TRUE,1,0)</f>
        <v>0</v>
      </c>
    </row>
    <row r="120" spans="1:4" x14ac:dyDescent="0.25">
      <c r="C120" s="7" t="str">
        <f>IF(C118=1,"YES",IF(C119=1,"YES","NO"))</f>
        <v>NO</v>
      </c>
    </row>
  </sheetData>
  <mergeCells count="1">
    <mergeCell ref="B52:G52"/>
  </mergeCells>
  <hyperlinks>
    <hyperlink ref="B2" r:id="rId1" xr:uid="{00000000-0004-0000-0100-000000000000}"/>
  </hyperlinks>
  <pageMargins left="0.7" right="0.7" top="0.75" bottom="0.75" header="0.3" footer="0.3"/>
  <pageSetup paperSize="9" orientation="portrait" r:id="rId2"/>
  <ignoredErrors>
    <ignoredError sqref="B28 B30 B33 B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E45"/>
  <sheetViews>
    <sheetView workbookViewId="0">
      <selection activeCell="B91" sqref="B91"/>
    </sheetView>
  </sheetViews>
  <sheetFormatPr defaultRowHeight="15" x14ac:dyDescent="0.25"/>
  <cols>
    <col min="1" max="1" width="32.7109375" bestFit="1" customWidth="1"/>
    <col min="2" max="2" width="46.5703125" customWidth="1"/>
    <col min="4" max="4" width="39.140625" customWidth="1"/>
    <col min="5" max="5" width="77.28515625" customWidth="1"/>
    <col min="9" max="9" width="20.140625" bestFit="1" customWidth="1"/>
  </cols>
  <sheetData>
    <row r="1" spans="1:5" x14ac:dyDescent="0.25">
      <c r="A1" s="1" t="s">
        <v>186</v>
      </c>
      <c r="B1" s="2">
        <f ca="1">NOW()</f>
        <v>45299.543306828702</v>
      </c>
      <c r="D1" s="1" t="s">
        <v>139</v>
      </c>
      <c r="E1" s="1" t="s">
        <v>140</v>
      </c>
    </row>
    <row r="2" spans="1:5" x14ac:dyDescent="0.25">
      <c r="A2" s="3" t="s">
        <v>253</v>
      </c>
      <c r="B2" t="str">
        <f ca="1">TEXT(B1,"d mmm yyyy - hh:mm")</f>
        <v>8 Jan 2024 - 13:02</v>
      </c>
      <c r="D2" t="str">
        <f>LINK!B60</f>
        <v>3725 20-1-17 C11 KAUNDA Hre, ZIM - Jhb, RSA</v>
      </c>
      <c r="E2" t="str">
        <f ca="1">B3&amp;B2</f>
        <v>C&amp;E Farming - Attached Copy of Completed Trip Sheet. Sent - 8 Jan 2024 - 13:02</v>
      </c>
    </row>
    <row r="3" spans="1:5" x14ac:dyDescent="0.25">
      <c r="A3" s="3"/>
      <c r="B3" t="s">
        <v>142</v>
      </c>
    </row>
    <row r="4" spans="1:5" x14ac:dyDescent="0.25">
      <c r="A4" s="3"/>
      <c r="B4" s="3"/>
    </row>
    <row r="5" spans="1:5" x14ac:dyDescent="0.25">
      <c r="B5" s="3"/>
    </row>
    <row r="6" spans="1:5" x14ac:dyDescent="0.25">
      <c r="B6" s="3"/>
    </row>
    <row r="7" spans="1:5" x14ac:dyDescent="0.25">
      <c r="B7" s="3"/>
    </row>
    <row r="8" spans="1:5" x14ac:dyDescent="0.25">
      <c r="B8" s="3"/>
    </row>
    <row r="9" spans="1:5" x14ac:dyDescent="0.25">
      <c r="B9" s="3"/>
    </row>
    <row r="10" spans="1:5" x14ac:dyDescent="0.25">
      <c r="B10" s="3"/>
    </row>
    <row r="11" spans="1:5" x14ac:dyDescent="0.25">
      <c r="B11" s="3"/>
    </row>
    <row r="12" spans="1:5" x14ac:dyDescent="0.25">
      <c r="B12" s="3"/>
    </row>
    <row r="13" spans="1:5" x14ac:dyDescent="0.25">
      <c r="B13" s="3"/>
    </row>
    <row r="14" spans="1:5" x14ac:dyDescent="0.25">
      <c r="B14" s="3"/>
    </row>
    <row r="15" spans="1:5" x14ac:dyDescent="0.25">
      <c r="B15" s="3"/>
    </row>
    <row r="16" spans="1:5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  <row r="32" spans="2:2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E45"/>
  <sheetViews>
    <sheetView workbookViewId="0">
      <selection activeCell="B91" sqref="B91"/>
    </sheetView>
  </sheetViews>
  <sheetFormatPr defaultRowHeight="15" x14ac:dyDescent="0.25"/>
  <cols>
    <col min="1" max="1" width="32.7109375" bestFit="1" customWidth="1"/>
    <col min="2" max="2" width="46.5703125" customWidth="1"/>
    <col min="4" max="4" width="41.42578125" bestFit="1" customWidth="1"/>
    <col min="5" max="5" width="77.28515625" customWidth="1"/>
    <col min="9" max="9" width="20.140625" bestFit="1" customWidth="1"/>
  </cols>
  <sheetData>
    <row r="1" spans="1:5" x14ac:dyDescent="0.25">
      <c r="A1" s="1" t="s">
        <v>187</v>
      </c>
      <c r="B1" s="2">
        <f ca="1">NOW()</f>
        <v>45299.543306828702</v>
      </c>
      <c r="D1" s="1" t="s">
        <v>139</v>
      </c>
      <c r="E1" s="1" t="s">
        <v>140</v>
      </c>
    </row>
    <row r="2" spans="1:5" x14ac:dyDescent="0.25">
      <c r="A2" s="3" t="s">
        <v>253</v>
      </c>
      <c r="B2" t="str">
        <f ca="1">TEXT(B1,"d mmm yyyy - hh:mm")</f>
        <v>8 Jan 2024 - 13:02</v>
      </c>
      <c r="D2" t="str">
        <f>LINK!B109</f>
        <v xml:space="preserve">INV 669 - </v>
      </c>
      <c r="E2" t="str">
        <f ca="1">B3&amp;LINK!B109&amp;EMAILS1!B5&amp;LINK!B110&amp;EMAILS1!B5&amp;LINK!B111&amp;EMAILS1!B5&amp;EMAILS1!B4&amp;EMAILS1!B2</f>
        <v>Please send Rate Agreement Ref INV 669 -  / 13-2-16 EMPTY Hre, ZIM - Jhb, RSA / (AAS 5843 / ) /  Sent - 8 Jan 2024 - 13:02</v>
      </c>
    </row>
    <row r="3" spans="1:5" x14ac:dyDescent="0.25">
      <c r="A3" s="3"/>
      <c r="B3" t="s">
        <v>176</v>
      </c>
    </row>
    <row r="4" spans="1:5" x14ac:dyDescent="0.25">
      <c r="A4" s="3"/>
      <c r="B4" t="s">
        <v>177</v>
      </c>
    </row>
    <row r="5" spans="1:5" x14ac:dyDescent="0.25">
      <c r="A5" s="3"/>
      <c r="B5" t="s">
        <v>178</v>
      </c>
    </row>
    <row r="6" spans="1:5" x14ac:dyDescent="0.25">
      <c r="B6" s="3"/>
    </row>
    <row r="7" spans="1:5" x14ac:dyDescent="0.25">
      <c r="B7" s="3"/>
    </row>
    <row r="8" spans="1:5" x14ac:dyDescent="0.25">
      <c r="B8" s="3"/>
    </row>
    <row r="9" spans="1:5" x14ac:dyDescent="0.25">
      <c r="B9" s="3"/>
    </row>
    <row r="10" spans="1:5" x14ac:dyDescent="0.25">
      <c r="B10" s="3"/>
    </row>
    <row r="11" spans="1:5" x14ac:dyDescent="0.25">
      <c r="B11" s="3"/>
    </row>
    <row r="12" spans="1:5" x14ac:dyDescent="0.25">
      <c r="B12" s="3"/>
    </row>
    <row r="13" spans="1:5" x14ac:dyDescent="0.25">
      <c r="B13" s="3"/>
    </row>
    <row r="14" spans="1:5" x14ac:dyDescent="0.25">
      <c r="B14" s="3"/>
    </row>
    <row r="15" spans="1:5" x14ac:dyDescent="0.25">
      <c r="B15" s="3"/>
    </row>
    <row r="16" spans="1:5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  <row r="32" spans="2:2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E45"/>
  <sheetViews>
    <sheetView workbookViewId="0">
      <selection activeCell="B91" sqref="B91"/>
    </sheetView>
  </sheetViews>
  <sheetFormatPr defaultRowHeight="15" x14ac:dyDescent="0.25"/>
  <cols>
    <col min="1" max="1" width="32.7109375" bestFit="1" customWidth="1"/>
    <col min="2" max="2" width="46.5703125" customWidth="1"/>
    <col min="4" max="4" width="41.42578125" bestFit="1" customWidth="1"/>
    <col min="5" max="5" width="77.28515625" customWidth="1"/>
    <col min="9" max="9" width="20.140625" bestFit="1" customWidth="1"/>
  </cols>
  <sheetData>
    <row r="1" spans="1:5" x14ac:dyDescent="0.25">
      <c r="A1" s="1" t="s">
        <v>187</v>
      </c>
      <c r="B1" s="2">
        <f ca="1">NOW()</f>
        <v>45299.543306828702</v>
      </c>
      <c r="D1" s="1" t="s">
        <v>139</v>
      </c>
      <c r="E1" s="1" t="s">
        <v>140</v>
      </c>
    </row>
    <row r="2" spans="1:5" x14ac:dyDescent="0.25">
      <c r="A2" s="3" t="s">
        <v>253</v>
      </c>
      <c r="B2" t="str">
        <f ca="1">TEXT(B1,"d mmm yyyy - hh:mm")</f>
        <v>8 Jan 2024 - 13:02</v>
      </c>
      <c r="D2" t="str">
        <f>LINK!B113</f>
        <v xml:space="preserve">INV 670 - </v>
      </c>
      <c r="E2" t="str">
        <f ca="1">B3&amp;LINK!B113&amp;EMAILS2!B5&amp;LINK!B114&amp;EMAILS2!B5&amp;LINK!B115&amp;EMAILS2!B5&amp;EMAILS2!B4&amp;EMAILS2!B2</f>
        <v>Please send Rate Agreement Ref INV 670 -  / 13-2-16 TANKER Jhb, RSA - Hre, ZIM / (AAS 5843 / ) /  Sent - 8 Jan 2024 - 13:02</v>
      </c>
    </row>
    <row r="3" spans="1:5" x14ac:dyDescent="0.25">
      <c r="A3" s="3"/>
      <c r="B3" t="s">
        <v>176</v>
      </c>
    </row>
    <row r="4" spans="1:5" x14ac:dyDescent="0.25">
      <c r="A4" s="3"/>
      <c r="B4" t="s">
        <v>177</v>
      </c>
    </row>
    <row r="5" spans="1:5" x14ac:dyDescent="0.25">
      <c r="A5" s="3"/>
      <c r="B5" t="s">
        <v>178</v>
      </c>
    </row>
    <row r="6" spans="1:5" x14ac:dyDescent="0.25">
      <c r="B6" s="3"/>
    </row>
    <row r="7" spans="1:5" x14ac:dyDescent="0.25">
      <c r="B7" s="3"/>
    </row>
    <row r="8" spans="1:5" x14ac:dyDescent="0.25">
      <c r="B8" s="3"/>
    </row>
    <row r="9" spans="1:5" x14ac:dyDescent="0.25">
      <c r="B9" s="3"/>
    </row>
    <row r="10" spans="1:5" x14ac:dyDescent="0.25">
      <c r="B10" s="3"/>
    </row>
    <row r="11" spans="1:5" x14ac:dyDescent="0.25">
      <c r="B11" s="3"/>
    </row>
    <row r="12" spans="1:5" x14ac:dyDescent="0.25">
      <c r="B12" s="3"/>
    </row>
    <row r="13" spans="1:5" x14ac:dyDescent="0.25">
      <c r="B13" s="3"/>
    </row>
    <row r="14" spans="1:5" x14ac:dyDescent="0.25">
      <c r="B14" s="3"/>
    </row>
    <row r="15" spans="1:5" x14ac:dyDescent="0.25">
      <c r="B15" s="3"/>
    </row>
    <row r="16" spans="1:5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  <row r="32" spans="2:2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42"/>
  <sheetViews>
    <sheetView topLeftCell="B1" workbookViewId="0">
      <pane ySplit="1" topLeftCell="A2" activePane="bottomLeft" state="frozen"/>
      <selection activeCell="C58" sqref="C58"/>
      <selection pane="bottomLeft" activeCell="C58" sqref="C58"/>
    </sheetView>
  </sheetViews>
  <sheetFormatPr defaultColWidth="9.140625" defaultRowHeight="15" x14ac:dyDescent="0.25"/>
  <cols>
    <col min="1" max="1" width="41.5703125" style="8" customWidth="1"/>
    <col min="2" max="2" width="10.5703125" style="8" customWidth="1"/>
    <col min="3" max="3" width="23.5703125" style="8" customWidth="1"/>
    <col min="4" max="4" width="28" style="7" customWidth="1"/>
    <col min="5" max="5" width="27.42578125" style="7" customWidth="1"/>
    <col min="6" max="6" width="19.7109375" style="5" customWidth="1"/>
    <col min="7" max="7" width="20.7109375" style="7" customWidth="1"/>
    <col min="8" max="8" width="9.140625" style="7"/>
    <col min="9" max="9" width="21.42578125" style="7" customWidth="1"/>
    <col min="10" max="10" width="19.42578125" style="7" customWidth="1"/>
    <col min="11" max="16384" width="9.140625" style="7"/>
  </cols>
  <sheetData>
    <row r="1" spans="1:10" s="6" customFormat="1" x14ac:dyDescent="0.25">
      <c r="A1" s="6" t="s">
        <v>73</v>
      </c>
      <c r="C1" s="6" t="s">
        <v>75</v>
      </c>
      <c r="D1" s="10" t="s">
        <v>76</v>
      </c>
      <c r="E1" s="6" t="s">
        <v>77</v>
      </c>
      <c r="F1" s="4" t="s">
        <v>78</v>
      </c>
      <c r="G1" s="6" t="s">
        <v>79</v>
      </c>
      <c r="I1" s="6" t="s">
        <v>77</v>
      </c>
      <c r="J1" s="6" t="s">
        <v>159</v>
      </c>
    </row>
    <row r="2" spans="1:10" x14ac:dyDescent="0.25">
      <c r="A2" s="8" t="s">
        <v>282</v>
      </c>
      <c r="C2" s="8" t="s">
        <v>46</v>
      </c>
      <c r="D2" s="11" t="s">
        <v>5</v>
      </c>
      <c r="E2" s="7" t="s">
        <v>164</v>
      </c>
      <c r="F2" s="5">
        <v>42513</v>
      </c>
      <c r="G2" s="7">
        <v>1170760</v>
      </c>
      <c r="I2" s="7" t="s">
        <v>164</v>
      </c>
      <c r="J2" s="7">
        <v>5000</v>
      </c>
    </row>
    <row r="3" spans="1:10" x14ac:dyDescent="0.25">
      <c r="A3" s="8" t="s">
        <v>278</v>
      </c>
      <c r="C3" s="8" t="s">
        <v>47</v>
      </c>
      <c r="D3" s="11" t="s">
        <v>11</v>
      </c>
      <c r="E3" s="7" t="s">
        <v>165</v>
      </c>
      <c r="F3" s="5">
        <v>42513</v>
      </c>
      <c r="G3" s="7">
        <v>1170761</v>
      </c>
      <c r="I3" s="7" t="s">
        <v>165</v>
      </c>
      <c r="J3" s="7">
        <v>5000</v>
      </c>
    </row>
    <row r="4" spans="1:10" x14ac:dyDescent="0.25">
      <c r="A4" s="8" t="s">
        <v>284</v>
      </c>
      <c r="C4" s="8" t="s">
        <v>48</v>
      </c>
      <c r="D4" s="11" t="s">
        <v>9</v>
      </c>
      <c r="E4" s="7" t="s">
        <v>166</v>
      </c>
      <c r="F4" s="5">
        <v>42513</v>
      </c>
      <c r="G4" s="7">
        <v>1170762</v>
      </c>
      <c r="I4" s="7" t="s">
        <v>166</v>
      </c>
      <c r="J4" s="7">
        <v>12000</v>
      </c>
    </row>
    <row r="5" spans="1:10" x14ac:dyDescent="0.25">
      <c r="A5" s="8" t="s">
        <v>276</v>
      </c>
      <c r="C5" s="8" t="s">
        <v>49</v>
      </c>
      <c r="D5" s="11" t="s">
        <v>6</v>
      </c>
      <c r="E5" s="7" t="s">
        <v>167</v>
      </c>
      <c r="F5" s="5">
        <v>42513</v>
      </c>
      <c r="G5" s="7">
        <v>1170763</v>
      </c>
      <c r="I5" s="7" t="s">
        <v>167</v>
      </c>
      <c r="J5" s="7">
        <v>15000</v>
      </c>
    </row>
    <row r="6" spans="1:10" x14ac:dyDescent="0.25">
      <c r="A6" s="8" t="s">
        <v>273</v>
      </c>
      <c r="C6" s="8" t="s">
        <v>50</v>
      </c>
      <c r="D6" s="11" t="s">
        <v>14</v>
      </c>
      <c r="E6" s="7" t="s">
        <v>168</v>
      </c>
      <c r="F6" s="5">
        <v>42513</v>
      </c>
      <c r="G6" s="7">
        <v>1170764</v>
      </c>
      <c r="I6" s="7" t="s">
        <v>168</v>
      </c>
      <c r="J6" s="7">
        <v>4000</v>
      </c>
    </row>
    <row r="7" spans="1:10" x14ac:dyDescent="0.25">
      <c r="A7" s="8" t="s">
        <v>279</v>
      </c>
      <c r="C7" s="8" t="s">
        <v>51</v>
      </c>
      <c r="D7" s="11" t="s">
        <v>13</v>
      </c>
      <c r="E7" s="7" t="s">
        <v>169</v>
      </c>
      <c r="F7" s="5">
        <v>42513</v>
      </c>
      <c r="G7" s="7">
        <v>1170765</v>
      </c>
      <c r="I7" s="7" t="s">
        <v>169</v>
      </c>
      <c r="J7" s="7">
        <v>7500</v>
      </c>
    </row>
    <row r="8" spans="1:10" x14ac:dyDescent="0.25">
      <c r="A8" s="8" t="s">
        <v>275</v>
      </c>
      <c r="C8" s="8" t="s">
        <v>52</v>
      </c>
      <c r="D8" s="11" t="s">
        <v>240</v>
      </c>
      <c r="E8" s="7" t="s">
        <v>180</v>
      </c>
      <c r="F8" s="5">
        <v>42513</v>
      </c>
      <c r="G8" s="7">
        <v>1170766</v>
      </c>
      <c r="I8" s="7" t="s">
        <v>180</v>
      </c>
      <c r="J8" s="7">
        <v>9000</v>
      </c>
    </row>
    <row r="9" spans="1:10" x14ac:dyDescent="0.25">
      <c r="A9" s="8" t="s">
        <v>274</v>
      </c>
      <c r="C9" s="8" t="s">
        <v>53</v>
      </c>
      <c r="D9" s="11" t="s">
        <v>8</v>
      </c>
      <c r="E9" s="7" t="s">
        <v>181</v>
      </c>
      <c r="F9" s="5">
        <v>42513</v>
      </c>
      <c r="G9" s="7">
        <v>1170767</v>
      </c>
      <c r="I9" s="7" t="s">
        <v>181</v>
      </c>
      <c r="J9" s="7">
        <v>7000</v>
      </c>
    </row>
    <row r="10" spans="1:10" x14ac:dyDescent="0.25">
      <c r="A10" s="8" t="s">
        <v>283</v>
      </c>
      <c r="C10" s="8" t="s">
        <v>54</v>
      </c>
      <c r="D10" s="11" t="s">
        <v>15</v>
      </c>
      <c r="E10" s="7" t="s">
        <v>182</v>
      </c>
      <c r="F10" s="5">
        <v>42513</v>
      </c>
      <c r="G10" s="7">
        <v>1170768</v>
      </c>
      <c r="I10" s="7" t="s">
        <v>182</v>
      </c>
      <c r="J10" s="7">
        <v>3500</v>
      </c>
    </row>
    <row r="11" spans="1:10" x14ac:dyDescent="0.25">
      <c r="A11" s="8" t="s">
        <v>277</v>
      </c>
      <c r="C11" s="8" t="s">
        <v>55</v>
      </c>
      <c r="D11" s="7" t="s">
        <v>4</v>
      </c>
      <c r="E11" s="7" t="s">
        <v>183</v>
      </c>
      <c r="F11" s="5">
        <v>42513</v>
      </c>
      <c r="G11" s="7">
        <v>1170769</v>
      </c>
      <c r="I11" s="7" t="s">
        <v>183</v>
      </c>
      <c r="J11" s="7">
        <v>8000</v>
      </c>
    </row>
    <row r="12" spans="1:10" x14ac:dyDescent="0.25">
      <c r="A12" s="8" t="s">
        <v>280</v>
      </c>
      <c r="C12" s="8" t="s">
        <v>247</v>
      </c>
      <c r="D12" s="7" t="s">
        <v>286</v>
      </c>
      <c r="E12" s="7" t="s">
        <v>184</v>
      </c>
      <c r="F12" s="5">
        <v>42513</v>
      </c>
      <c r="G12" s="7">
        <v>1170770</v>
      </c>
      <c r="I12" s="7" t="s">
        <v>184</v>
      </c>
      <c r="J12" s="7">
        <v>10000</v>
      </c>
    </row>
    <row r="13" spans="1:10" x14ac:dyDescent="0.25">
      <c r="A13" s="8" t="s">
        <v>281</v>
      </c>
      <c r="C13" s="8" t="s">
        <v>285</v>
      </c>
      <c r="D13" s="7" t="s">
        <v>2</v>
      </c>
      <c r="E13" s="7" t="s">
        <v>185</v>
      </c>
      <c r="F13" s="5">
        <v>42513</v>
      </c>
      <c r="G13" s="7">
        <v>1170771</v>
      </c>
      <c r="I13" s="7" t="s">
        <v>185</v>
      </c>
      <c r="J13" s="7">
        <v>2500</v>
      </c>
    </row>
    <row r="14" spans="1:10" x14ac:dyDescent="0.25">
      <c r="A14" s="8" t="s">
        <v>294</v>
      </c>
      <c r="C14" s="8" t="s">
        <v>239</v>
      </c>
      <c r="D14" s="7" t="s">
        <v>10</v>
      </c>
      <c r="E14" s="7" t="s">
        <v>287</v>
      </c>
      <c r="F14" s="5">
        <v>42513</v>
      </c>
      <c r="G14" s="7">
        <v>1170772</v>
      </c>
      <c r="I14" s="7" t="s">
        <v>108</v>
      </c>
    </row>
    <row r="15" spans="1:10" x14ac:dyDescent="0.25">
      <c r="C15" s="8" t="s">
        <v>56</v>
      </c>
      <c r="D15" s="7" t="s">
        <v>12</v>
      </c>
      <c r="E15" s="7" t="s">
        <v>288</v>
      </c>
      <c r="F15" s="5">
        <v>42513</v>
      </c>
      <c r="G15" s="7">
        <v>1170773</v>
      </c>
    </row>
    <row r="16" spans="1:10" x14ac:dyDescent="0.25">
      <c r="A16" s="12"/>
      <c r="B16" s="12"/>
      <c r="C16" s="8" t="s">
        <v>57</v>
      </c>
      <c r="D16" s="7" t="s">
        <v>7</v>
      </c>
      <c r="E16" s="7" t="s">
        <v>289</v>
      </c>
      <c r="F16" s="5">
        <v>42513</v>
      </c>
      <c r="G16" s="7">
        <v>1170774</v>
      </c>
    </row>
    <row r="17" spans="3:7" x14ac:dyDescent="0.25">
      <c r="C17" s="8" t="s">
        <v>58</v>
      </c>
      <c r="D17" s="7" t="s">
        <v>3</v>
      </c>
      <c r="E17" s="7" t="s">
        <v>290</v>
      </c>
      <c r="F17" s="5">
        <v>42513</v>
      </c>
      <c r="G17" s="7">
        <v>1170775</v>
      </c>
    </row>
    <row r="18" spans="3:7" x14ac:dyDescent="0.25">
      <c r="C18" s="8" t="s">
        <v>59</v>
      </c>
      <c r="E18" s="7" t="s">
        <v>291</v>
      </c>
      <c r="F18" s="5">
        <v>42513</v>
      </c>
      <c r="G18" s="7">
        <v>1170776</v>
      </c>
    </row>
    <row r="19" spans="3:7" x14ac:dyDescent="0.25">
      <c r="C19" s="8" t="s">
        <v>60</v>
      </c>
      <c r="E19" s="7" t="s">
        <v>108</v>
      </c>
      <c r="F19" s="5">
        <v>42513</v>
      </c>
      <c r="G19" s="7">
        <v>1170777</v>
      </c>
    </row>
    <row r="20" spans="3:7" x14ac:dyDescent="0.25">
      <c r="C20" s="8" t="s">
        <v>248</v>
      </c>
      <c r="F20" s="5">
        <v>42513</v>
      </c>
      <c r="G20" s="7">
        <v>1170778</v>
      </c>
    </row>
    <row r="21" spans="3:7" x14ac:dyDescent="0.25">
      <c r="C21" s="8" t="s">
        <v>61</v>
      </c>
      <c r="F21" s="5">
        <v>42513</v>
      </c>
      <c r="G21" s="7">
        <v>1170779</v>
      </c>
    </row>
    <row r="22" spans="3:7" x14ac:dyDescent="0.25">
      <c r="C22" s="8" t="s">
        <v>62</v>
      </c>
      <c r="F22" s="5">
        <v>42513</v>
      </c>
      <c r="G22" s="7">
        <v>1170780</v>
      </c>
    </row>
    <row r="23" spans="3:7" x14ac:dyDescent="0.25">
      <c r="C23" s="8" t="s">
        <v>63</v>
      </c>
      <c r="F23" s="5">
        <v>42513</v>
      </c>
      <c r="G23" s="7">
        <v>1170781</v>
      </c>
    </row>
    <row r="24" spans="3:7" x14ac:dyDescent="0.25">
      <c r="C24" s="8" t="s">
        <v>64</v>
      </c>
      <c r="F24" s="5">
        <v>42513</v>
      </c>
      <c r="G24" s="7">
        <v>1170782</v>
      </c>
    </row>
    <row r="25" spans="3:7" x14ac:dyDescent="0.25">
      <c r="C25" s="8" t="s">
        <v>65</v>
      </c>
      <c r="F25" s="5">
        <v>42513</v>
      </c>
      <c r="G25" s="7">
        <v>1170783</v>
      </c>
    </row>
    <row r="26" spans="3:7" x14ac:dyDescent="0.25">
      <c r="C26" s="8" t="s">
        <v>66</v>
      </c>
      <c r="F26" s="5">
        <v>42513</v>
      </c>
      <c r="G26" s="7">
        <v>1170784</v>
      </c>
    </row>
    <row r="27" spans="3:7" x14ac:dyDescent="0.25">
      <c r="F27" s="5">
        <v>42513</v>
      </c>
      <c r="G27" s="7">
        <v>1170785</v>
      </c>
    </row>
    <row r="28" spans="3:7" x14ac:dyDescent="0.25">
      <c r="F28" s="5">
        <v>42513</v>
      </c>
      <c r="G28" s="7">
        <v>1170786</v>
      </c>
    </row>
    <row r="29" spans="3:7" x14ac:dyDescent="0.25">
      <c r="F29" s="5">
        <v>42513</v>
      </c>
      <c r="G29" s="7">
        <v>1170787</v>
      </c>
    </row>
    <row r="30" spans="3:7" x14ac:dyDescent="0.25">
      <c r="F30" s="5">
        <v>42513</v>
      </c>
      <c r="G30" s="7">
        <v>1170788</v>
      </c>
    </row>
    <row r="31" spans="3:7" x14ac:dyDescent="0.25">
      <c r="F31" s="5">
        <v>42513</v>
      </c>
      <c r="G31" s="7">
        <v>1170789</v>
      </c>
    </row>
    <row r="32" spans="3:7" x14ac:dyDescent="0.25">
      <c r="F32" s="5">
        <v>42513</v>
      </c>
      <c r="G32" s="7">
        <v>1170790</v>
      </c>
    </row>
    <row r="33" spans="6:7" x14ac:dyDescent="0.25">
      <c r="F33" s="5">
        <v>42513</v>
      </c>
      <c r="G33" s="7">
        <v>1170791</v>
      </c>
    </row>
    <row r="34" spans="6:7" x14ac:dyDescent="0.25">
      <c r="F34" s="5">
        <v>42513</v>
      </c>
      <c r="G34" s="7">
        <v>1170792</v>
      </c>
    </row>
    <row r="35" spans="6:7" x14ac:dyDescent="0.25">
      <c r="F35" s="5">
        <v>42513</v>
      </c>
      <c r="G35" s="7">
        <v>1170793</v>
      </c>
    </row>
    <row r="36" spans="6:7" x14ac:dyDescent="0.25">
      <c r="F36" s="5">
        <v>42513</v>
      </c>
      <c r="G36" s="7">
        <v>1170794</v>
      </c>
    </row>
    <row r="37" spans="6:7" x14ac:dyDescent="0.25">
      <c r="F37" s="5">
        <v>42513</v>
      </c>
      <c r="G37" s="7">
        <v>1170795</v>
      </c>
    </row>
    <row r="38" spans="6:7" x14ac:dyDescent="0.25">
      <c r="F38" s="5">
        <v>42513</v>
      </c>
      <c r="G38" s="7">
        <v>1170796</v>
      </c>
    </row>
    <row r="39" spans="6:7" x14ac:dyDescent="0.25">
      <c r="F39" s="5">
        <v>42513</v>
      </c>
      <c r="G39" s="7">
        <v>1170797</v>
      </c>
    </row>
    <row r="40" spans="6:7" x14ac:dyDescent="0.25">
      <c r="F40" s="5">
        <v>42513</v>
      </c>
      <c r="G40" s="7">
        <v>1170798</v>
      </c>
    </row>
    <row r="41" spans="6:7" x14ac:dyDescent="0.25">
      <c r="F41" s="5">
        <v>42513</v>
      </c>
      <c r="G41" s="7">
        <v>1170799</v>
      </c>
    </row>
    <row r="42" spans="6:7" x14ac:dyDescent="0.25">
      <c r="F42" s="5">
        <v>42513</v>
      </c>
      <c r="G42" s="7">
        <v>1170800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N17"/>
  <sheetViews>
    <sheetView topLeftCell="F1" workbookViewId="0">
      <pane ySplit="1" topLeftCell="A2" activePane="bottomLeft" state="frozen"/>
      <selection activeCell="C58" sqref="C58"/>
      <selection pane="bottomLeft" activeCell="C58" sqref="C58"/>
    </sheetView>
  </sheetViews>
  <sheetFormatPr defaultColWidth="9.140625" defaultRowHeight="15" x14ac:dyDescent="0.25"/>
  <cols>
    <col min="1" max="1" width="16.140625" style="7" customWidth="1"/>
    <col min="2" max="2" width="18.5703125" style="7" customWidth="1"/>
    <col min="3" max="3" width="21.28515625" style="7" customWidth="1"/>
    <col min="4" max="4" width="18.28515625" style="9" customWidth="1"/>
    <col min="5" max="5" width="20.7109375" style="7" customWidth="1"/>
    <col min="6" max="6" width="29.42578125" style="7" customWidth="1"/>
    <col min="7" max="7" width="38.7109375" style="7" customWidth="1"/>
    <col min="8" max="8" width="11.5703125" style="7" bestFit="1" customWidth="1"/>
    <col min="9" max="9" width="17" style="5" customWidth="1"/>
    <col min="10" max="10" width="22" customWidth="1"/>
    <col min="11" max="11" width="14.28515625" style="44" customWidth="1"/>
    <col min="12" max="12" width="18.28515625" style="9" customWidth="1"/>
    <col min="13" max="13" width="14.28515625" style="45" bestFit="1" customWidth="1"/>
    <col min="14" max="14" width="15.7109375" bestFit="1" customWidth="1"/>
    <col min="15" max="16384" width="9.140625" style="7"/>
  </cols>
  <sheetData>
    <row r="1" spans="1:14" s="6" customFormat="1" x14ac:dyDescent="0.25">
      <c r="A1" s="6" t="s">
        <v>68</v>
      </c>
      <c r="B1" s="6" t="s">
        <v>69</v>
      </c>
      <c r="C1" s="6" t="s">
        <v>70</v>
      </c>
      <c r="D1" s="6" t="s">
        <v>71</v>
      </c>
      <c r="E1" s="6" t="s">
        <v>80</v>
      </c>
      <c r="F1" s="6" t="s">
        <v>72</v>
      </c>
      <c r="G1" s="6" t="s">
        <v>73</v>
      </c>
      <c r="H1" s="6" t="s">
        <v>143</v>
      </c>
      <c r="I1" s="4" t="s">
        <v>243</v>
      </c>
      <c r="J1" s="6" t="s">
        <v>244</v>
      </c>
      <c r="K1" s="46" t="s">
        <v>238</v>
      </c>
      <c r="L1" s="6" t="s">
        <v>81</v>
      </c>
      <c r="M1" s="47" t="s">
        <v>234</v>
      </c>
      <c r="N1" s="1" t="s">
        <v>235</v>
      </c>
    </row>
    <row r="2" spans="1:14" x14ac:dyDescent="0.25">
      <c r="A2" s="7" t="s">
        <v>16</v>
      </c>
      <c r="B2" s="7" t="s">
        <v>17</v>
      </c>
      <c r="C2" s="7" t="s">
        <v>146</v>
      </c>
      <c r="G2" s="7" t="s">
        <v>273</v>
      </c>
      <c r="H2" s="7" t="s">
        <v>144</v>
      </c>
    </row>
    <row r="3" spans="1:14" x14ac:dyDescent="0.25">
      <c r="A3" s="7" t="s">
        <v>18</v>
      </c>
      <c r="B3" s="7" t="s">
        <v>19</v>
      </c>
      <c r="C3" s="7" t="s">
        <v>146</v>
      </c>
      <c r="G3" s="7" t="s">
        <v>294</v>
      </c>
      <c r="H3" s="7" t="s">
        <v>144</v>
      </c>
    </row>
    <row r="4" spans="1:14" x14ac:dyDescent="0.25">
      <c r="A4" s="7" t="s">
        <v>20</v>
      </c>
      <c r="B4" s="7" t="s">
        <v>21</v>
      </c>
      <c r="C4" s="7" t="s">
        <v>146</v>
      </c>
      <c r="H4" s="7" t="s">
        <v>144</v>
      </c>
    </row>
    <row r="5" spans="1:14" x14ac:dyDescent="0.25">
      <c r="A5" s="7" t="s">
        <v>22</v>
      </c>
      <c r="B5" s="7" t="s">
        <v>23</v>
      </c>
      <c r="C5" s="7" t="s">
        <v>146</v>
      </c>
      <c r="G5" s="7" t="s">
        <v>274</v>
      </c>
      <c r="H5" s="7" t="s">
        <v>144</v>
      </c>
    </row>
    <row r="6" spans="1:14" x14ac:dyDescent="0.25">
      <c r="A6" s="7" t="s">
        <v>24</v>
      </c>
      <c r="B6" s="7" t="s">
        <v>25</v>
      </c>
      <c r="C6" s="7" t="s">
        <v>146</v>
      </c>
      <c r="G6" s="7" t="s">
        <v>275</v>
      </c>
      <c r="H6" s="7" t="s">
        <v>144</v>
      </c>
    </row>
    <row r="7" spans="1:14" x14ac:dyDescent="0.25">
      <c r="A7" s="7" t="s">
        <v>26</v>
      </c>
      <c r="B7" s="7" t="s">
        <v>27</v>
      </c>
      <c r="C7" s="7" t="s">
        <v>146</v>
      </c>
      <c r="G7" s="7" t="s">
        <v>276</v>
      </c>
      <c r="H7" s="7" t="s">
        <v>144</v>
      </c>
    </row>
    <row r="8" spans="1:14" x14ac:dyDescent="0.25">
      <c r="A8" s="7" t="s">
        <v>28</v>
      </c>
      <c r="B8" s="7" t="s">
        <v>29</v>
      </c>
      <c r="C8" s="7" t="s">
        <v>146</v>
      </c>
      <c r="G8" s="7" t="s">
        <v>277</v>
      </c>
      <c r="H8" s="7" t="s">
        <v>144</v>
      </c>
    </row>
    <row r="9" spans="1:14" x14ac:dyDescent="0.25">
      <c r="A9" s="7" t="s">
        <v>30</v>
      </c>
      <c r="B9" s="7" t="s">
        <v>31</v>
      </c>
      <c r="C9" s="7" t="s">
        <v>146</v>
      </c>
      <c r="G9" s="7" t="s">
        <v>278</v>
      </c>
      <c r="H9" s="7" t="s">
        <v>144</v>
      </c>
    </row>
    <row r="10" spans="1:14" x14ac:dyDescent="0.25">
      <c r="A10" s="7" t="s">
        <v>32</v>
      </c>
      <c r="B10" s="7" t="s">
        <v>33</v>
      </c>
      <c r="C10" s="7" t="s">
        <v>146</v>
      </c>
      <c r="G10" s="7" t="s">
        <v>279</v>
      </c>
      <c r="H10" s="7" t="s">
        <v>145</v>
      </c>
    </row>
    <row r="11" spans="1:14" x14ac:dyDescent="0.25">
      <c r="A11" s="7" t="s">
        <v>34</v>
      </c>
      <c r="B11" s="7" t="s">
        <v>35</v>
      </c>
      <c r="C11" s="7" t="s">
        <v>146</v>
      </c>
      <c r="G11" s="7" t="s">
        <v>280</v>
      </c>
      <c r="H11" s="7" t="s">
        <v>145</v>
      </c>
    </row>
    <row r="12" spans="1:14" x14ac:dyDescent="0.25">
      <c r="A12" s="7" t="s">
        <v>36</v>
      </c>
      <c r="B12" s="7" t="s">
        <v>37</v>
      </c>
      <c r="C12" s="7" t="s">
        <v>146</v>
      </c>
      <c r="G12" s="7" t="s">
        <v>281</v>
      </c>
      <c r="H12" s="7" t="s">
        <v>145</v>
      </c>
    </row>
    <row r="13" spans="1:14" x14ac:dyDescent="0.25">
      <c r="A13" s="7" t="s">
        <v>38</v>
      </c>
      <c r="B13" s="7" t="s">
        <v>39</v>
      </c>
      <c r="C13" s="7" t="s">
        <v>146</v>
      </c>
      <c r="G13" s="7" t="s">
        <v>282</v>
      </c>
      <c r="H13" s="7" t="s">
        <v>145</v>
      </c>
    </row>
    <row r="14" spans="1:14" x14ac:dyDescent="0.25">
      <c r="A14" s="7" t="s">
        <v>40</v>
      </c>
      <c r="B14" s="7" t="s">
        <v>41</v>
      </c>
      <c r="C14" s="7" t="s">
        <v>74</v>
      </c>
      <c r="D14" s="9">
        <v>34114</v>
      </c>
      <c r="H14" s="7" t="s">
        <v>145</v>
      </c>
      <c r="I14" s="5">
        <v>42573</v>
      </c>
      <c r="J14" t="s">
        <v>250</v>
      </c>
      <c r="K14" s="44">
        <v>490</v>
      </c>
      <c r="L14" s="9">
        <v>34114</v>
      </c>
      <c r="M14" s="45">
        <v>0</v>
      </c>
      <c r="N14">
        <v>0</v>
      </c>
    </row>
    <row r="15" spans="1:14" x14ac:dyDescent="0.25">
      <c r="A15" s="7" t="s">
        <v>42</v>
      </c>
      <c r="B15" s="7" t="s">
        <v>43</v>
      </c>
      <c r="C15" s="7" t="s">
        <v>74</v>
      </c>
      <c r="D15" s="9">
        <v>753000</v>
      </c>
      <c r="H15" s="7" t="s">
        <v>145</v>
      </c>
      <c r="I15" s="5">
        <v>42562</v>
      </c>
      <c r="J15" t="s">
        <v>250</v>
      </c>
      <c r="K15" s="44">
        <v>600</v>
      </c>
      <c r="L15" s="9">
        <v>751676</v>
      </c>
      <c r="M15" s="45">
        <v>0</v>
      </c>
      <c r="N15">
        <v>0</v>
      </c>
    </row>
    <row r="16" spans="1:14" x14ac:dyDescent="0.25">
      <c r="A16" s="7" t="s">
        <v>44</v>
      </c>
      <c r="B16" s="7" t="s">
        <v>45</v>
      </c>
      <c r="C16" s="7" t="s">
        <v>146</v>
      </c>
      <c r="G16" s="7" t="s">
        <v>283</v>
      </c>
      <c r="H16" s="7" t="s">
        <v>145</v>
      </c>
    </row>
    <row r="17" spans="1:8" x14ac:dyDescent="0.25">
      <c r="A17" s="7" t="s">
        <v>189</v>
      </c>
      <c r="B17" s="7" t="s">
        <v>239</v>
      </c>
      <c r="C17" s="7" t="s">
        <v>146</v>
      </c>
      <c r="G17" s="7" t="s">
        <v>284</v>
      </c>
      <c r="H17" s="7" t="s">
        <v>144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14"/>
  <sheetViews>
    <sheetView workbookViewId="0">
      <selection activeCell="C58" sqref="C58"/>
    </sheetView>
  </sheetViews>
  <sheetFormatPr defaultRowHeight="15" x14ac:dyDescent="0.25"/>
  <cols>
    <col min="1" max="1" width="38.7109375" style="7" customWidth="1"/>
  </cols>
  <sheetData>
    <row r="1" spans="1:1" x14ac:dyDescent="0.25">
      <c r="A1" s="6" t="s">
        <v>73</v>
      </c>
    </row>
    <row r="2" spans="1:1" x14ac:dyDescent="0.25">
      <c r="A2" s="7" t="s">
        <v>282</v>
      </c>
    </row>
    <row r="3" spans="1:1" x14ac:dyDescent="0.25">
      <c r="A3" s="7" t="s">
        <v>278</v>
      </c>
    </row>
    <row r="4" spans="1:1" x14ac:dyDescent="0.25">
      <c r="A4" s="7" t="s">
        <v>284</v>
      </c>
    </row>
    <row r="5" spans="1:1" x14ac:dyDescent="0.25">
      <c r="A5" s="7" t="s">
        <v>276</v>
      </c>
    </row>
    <row r="6" spans="1:1" x14ac:dyDescent="0.25">
      <c r="A6" s="7" t="s">
        <v>273</v>
      </c>
    </row>
    <row r="7" spans="1:1" x14ac:dyDescent="0.25">
      <c r="A7" s="7" t="s">
        <v>279</v>
      </c>
    </row>
    <row r="8" spans="1:1" x14ac:dyDescent="0.25">
      <c r="A8" s="7" t="s">
        <v>275</v>
      </c>
    </row>
    <row r="9" spans="1:1" x14ac:dyDescent="0.25">
      <c r="A9" s="7" t="s">
        <v>274</v>
      </c>
    </row>
    <row r="10" spans="1:1" x14ac:dyDescent="0.25">
      <c r="A10" s="7" t="s">
        <v>283</v>
      </c>
    </row>
    <row r="11" spans="1:1" x14ac:dyDescent="0.25">
      <c r="A11" s="7" t="s">
        <v>277</v>
      </c>
    </row>
    <row r="12" spans="1:1" x14ac:dyDescent="0.25">
      <c r="A12" s="7" t="s">
        <v>280</v>
      </c>
    </row>
    <row r="13" spans="1:1" x14ac:dyDescent="0.25">
      <c r="A13" s="7" t="s">
        <v>281</v>
      </c>
    </row>
    <row r="14" spans="1:1" x14ac:dyDescent="0.25">
      <c r="A14" s="7" t="s">
        <v>294</v>
      </c>
    </row>
  </sheetData>
  <sortState xmlns:xlrd2="http://schemas.microsoft.com/office/spreadsheetml/2017/richdata2" ref="A2:A17">
    <sortCondition ref="A1:A1048576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pageSetUpPr fitToPage="1"/>
  </sheetPr>
  <dimension ref="A1:G54"/>
  <sheetViews>
    <sheetView showGridLines="0" workbookViewId="0">
      <pane ySplit="1" topLeftCell="A32" activePane="bottomLeft" state="frozen"/>
      <selection activeCell="C58" sqref="C58"/>
      <selection pane="bottomLeft" activeCell="C58" sqref="C58"/>
    </sheetView>
  </sheetViews>
  <sheetFormatPr defaultColWidth="9.140625" defaultRowHeight="15" x14ac:dyDescent="0.25"/>
  <cols>
    <col min="1" max="1" width="15.28515625" style="21" customWidth="1"/>
    <col min="2" max="2" width="21" style="21" customWidth="1"/>
    <col min="3" max="3" width="11.42578125" style="21" customWidth="1"/>
    <col min="4" max="4" width="15.85546875" style="21" customWidth="1"/>
    <col min="5" max="5" width="18.5703125" style="21" customWidth="1"/>
    <col min="6" max="6" width="18" style="21" customWidth="1"/>
    <col min="7" max="7" width="16.28515625" style="21" customWidth="1"/>
    <col min="8" max="8" width="13" style="21" customWidth="1"/>
    <col min="9" max="16384" width="9.140625" style="21"/>
  </cols>
  <sheetData>
    <row r="1" spans="1:6" ht="20.25" customHeight="1" x14ac:dyDescent="0.25">
      <c r="A1" s="16" t="s">
        <v>196</v>
      </c>
      <c r="B1" s="17">
        <v>3565</v>
      </c>
      <c r="C1" s="18"/>
      <c r="D1" s="16" t="s">
        <v>197</v>
      </c>
      <c r="E1" s="19" t="s">
        <v>252</v>
      </c>
      <c r="F1" s="20"/>
    </row>
    <row r="2" spans="1:6" ht="9.75" customHeight="1" x14ac:dyDescent="0.25">
      <c r="A2" s="16"/>
      <c r="B2" s="16"/>
      <c r="C2" s="16"/>
      <c r="D2" s="16"/>
      <c r="E2" s="16"/>
      <c r="F2" s="18"/>
    </row>
    <row r="3" spans="1:6" ht="18" customHeight="1" x14ac:dyDescent="0.25">
      <c r="A3" s="16" t="s">
        <v>198</v>
      </c>
      <c r="B3" s="22">
        <v>42413</v>
      </c>
      <c r="C3" s="23" t="s">
        <v>199</v>
      </c>
      <c r="D3" s="16" t="s">
        <v>200</v>
      </c>
      <c r="E3" s="37">
        <v>636603</v>
      </c>
      <c r="F3" s="23" t="s">
        <v>201</v>
      </c>
    </row>
    <row r="4" spans="1:6" ht="18" customHeight="1" x14ac:dyDescent="0.25">
      <c r="A4" s="16" t="s">
        <v>202</v>
      </c>
      <c r="B4" s="22">
        <v>42446</v>
      </c>
      <c r="C4" s="17">
        <f>IF(B4="","",B4-B3)</f>
        <v>33</v>
      </c>
      <c r="D4" s="16" t="s">
        <v>200</v>
      </c>
      <c r="E4" s="37">
        <v>641446</v>
      </c>
      <c r="F4" s="37">
        <f>IF(E4="","",E4-E3)</f>
        <v>4843</v>
      </c>
    </row>
    <row r="5" spans="1:6" ht="18" customHeight="1" x14ac:dyDescent="0.25">
      <c r="A5" s="16" t="s">
        <v>203</v>
      </c>
      <c r="B5" s="17" t="s">
        <v>15</v>
      </c>
      <c r="C5" s="18"/>
      <c r="D5" s="18"/>
      <c r="E5" s="18"/>
      <c r="F5" s="18"/>
    </row>
    <row r="6" spans="1:6" ht="18" customHeight="1" x14ac:dyDescent="0.25">
      <c r="A6" s="16" t="s">
        <v>204</v>
      </c>
      <c r="B6" s="17" t="s">
        <v>30</v>
      </c>
      <c r="C6" s="18"/>
      <c r="D6" s="25" t="s">
        <v>205</v>
      </c>
      <c r="E6" s="17" t="s">
        <v>31</v>
      </c>
      <c r="F6" s="18"/>
    </row>
    <row r="7" spans="1:6" ht="18" customHeight="1" x14ac:dyDescent="0.25">
      <c r="A7" s="18"/>
      <c r="B7" s="18"/>
      <c r="C7" s="18"/>
      <c r="D7" s="25" t="s">
        <v>206</v>
      </c>
      <c r="E7" s="17" t="s">
        <v>55</v>
      </c>
      <c r="F7" s="18"/>
    </row>
    <row r="8" spans="1:6" ht="18" customHeight="1" x14ac:dyDescent="0.25">
      <c r="A8" s="18"/>
      <c r="B8" s="18"/>
      <c r="C8" s="18"/>
      <c r="D8" s="25" t="s">
        <v>207</v>
      </c>
      <c r="E8" s="17"/>
      <c r="F8" s="18"/>
    </row>
    <row r="9" spans="1:6" ht="9" customHeight="1" x14ac:dyDescent="0.25">
      <c r="A9" s="18"/>
      <c r="B9" s="18"/>
      <c r="C9" s="18"/>
      <c r="D9" s="18"/>
      <c r="E9" s="18"/>
      <c r="F9" s="18"/>
    </row>
    <row r="10" spans="1:6" ht="18" customHeight="1" x14ac:dyDescent="0.25">
      <c r="A10" s="16" t="s">
        <v>208</v>
      </c>
      <c r="B10" s="26" t="s">
        <v>164</v>
      </c>
      <c r="C10" s="20"/>
      <c r="D10" s="16" t="s">
        <v>209</v>
      </c>
      <c r="E10" s="26" t="s">
        <v>166</v>
      </c>
      <c r="F10" s="20"/>
    </row>
    <row r="11" spans="1:6" ht="18" customHeight="1" x14ac:dyDescent="0.25">
      <c r="A11" s="16" t="s">
        <v>210</v>
      </c>
      <c r="B11" s="26" t="s">
        <v>251</v>
      </c>
      <c r="C11" s="20"/>
      <c r="D11" s="16" t="s">
        <v>210</v>
      </c>
      <c r="E11" s="27" t="s">
        <v>254</v>
      </c>
      <c r="F11" s="20"/>
    </row>
    <row r="12" spans="1:6" ht="18" customHeight="1" x14ac:dyDescent="0.25">
      <c r="A12" s="16" t="s">
        <v>213</v>
      </c>
      <c r="B12" s="28"/>
      <c r="C12" s="18"/>
      <c r="D12" s="16" t="s">
        <v>213</v>
      </c>
      <c r="E12" s="28"/>
      <c r="F12" s="18"/>
    </row>
    <row r="13" spans="1:6" ht="18" customHeight="1" x14ac:dyDescent="0.25">
      <c r="A13" s="16" t="s">
        <v>214</v>
      </c>
      <c r="B13" s="29" t="str">
        <f>IF(B12="","",$B$1&amp;"A")</f>
        <v/>
      </c>
      <c r="C13" s="18"/>
      <c r="D13" s="16" t="s">
        <v>214</v>
      </c>
      <c r="E13" s="29" t="str">
        <f>IF(E12="","",$B$1&amp;"B")</f>
        <v/>
      </c>
      <c r="F13" s="18"/>
    </row>
    <row r="14" spans="1:6" x14ac:dyDescent="0.25">
      <c r="A14" s="18"/>
      <c r="B14" s="18"/>
      <c r="C14" s="18"/>
      <c r="D14" s="18"/>
      <c r="E14" s="18"/>
      <c r="F14" s="18"/>
    </row>
    <row r="15" spans="1:6" ht="14.25" customHeight="1" x14ac:dyDescent="0.25">
      <c r="A15" s="57" t="s">
        <v>215</v>
      </c>
      <c r="B15" s="57"/>
      <c r="C15" s="57"/>
      <c r="D15" s="57"/>
      <c r="E15" s="57"/>
      <c r="F15" s="57"/>
    </row>
    <row r="16" spans="1:6" x14ac:dyDescent="0.25">
      <c r="A16" s="30" t="s">
        <v>111</v>
      </c>
      <c r="B16" s="58" t="s">
        <v>216</v>
      </c>
      <c r="C16" s="58"/>
      <c r="D16" s="30" t="s">
        <v>217</v>
      </c>
      <c r="E16" s="30" t="s">
        <v>218</v>
      </c>
      <c r="F16" s="30" t="s">
        <v>219</v>
      </c>
    </row>
    <row r="17" spans="1:6" x14ac:dyDescent="0.25">
      <c r="A17" s="22">
        <v>42413</v>
      </c>
      <c r="B17" s="26"/>
      <c r="C17" s="20"/>
      <c r="D17" s="29"/>
      <c r="E17" s="31"/>
      <c r="F17" s="31"/>
    </row>
    <row r="18" spans="1:6" x14ac:dyDescent="0.25">
      <c r="A18" s="22">
        <v>42413</v>
      </c>
      <c r="B18" s="26" t="s">
        <v>249</v>
      </c>
      <c r="C18" s="20"/>
      <c r="D18" s="31">
        <v>1269</v>
      </c>
      <c r="E18" s="31"/>
      <c r="F18" s="31">
        <f t="shared" ref="F18:F26" si="0">F17+D18-E18</f>
        <v>1269</v>
      </c>
    </row>
    <row r="19" spans="1:6" x14ac:dyDescent="0.25">
      <c r="A19" s="22">
        <v>42413</v>
      </c>
      <c r="B19" s="26" t="s">
        <v>255</v>
      </c>
      <c r="C19" s="20"/>
      <c r="D19" s="31">
        <v>1000</v>
      </c>
      <c r="E19" s="31"/>
      <c r="F19" s="31">
        <f t="shared" si="0"/>
        <v>2269</v>
      </c>
    </row>
    <row r="20" spans="1:6" x14ac:dyDescent="0.25">
      <c r="A20" s="22">
        <v>42429</v>
      </c>
      <c r="B20" s="26" t="s">
        <v>256</v>
      </c>
      <c r="C20" s="20"/>
      <c r="D20" s="31"/>
      <c r="E20" s="31">
        <v>140</v>
      </c>
      <c r="F20" s="31">
        <f t="shared" si="0"/>
        <v>2129</v>
      </c>
    </row>
    <row r="21" spans="1:6" x14ac:dyDescent="0.25">
      <c r="A21" s="22">
        <v>42429</v>
      </c>
      <c r="B21" s="26" t="s">
        <v>257</v>
      </c>
      <c r="C21" s="20"/>
      <c r="D21" s="31"/>
      <c r="E21" s="31">
        <v>1000</v>
      </c>
      <c r="F21" s="31">
        <f t="shared" si="0"/>
        <v>1129</v>
      </c>
    </row>
    <row r="22" spans="1:6" x14ac:dyDescent="0.25">
      <c r="A22" s="22">
        <v>42429</v>
      </c>
      <c r="B22" s="26" t="s">
        <v>258</v>
      </c>
      <c r="C22" s="20"/>
      <c r="D22" s="31"/>
      <c r="E22" s="31">
        <v>50</v>
      </c>
      <c r="F22" s="31">
        <f t="shared" si="0"/>
        <v>1079</v>
      </c>
    </row>
    <row r="23" spans="1:6" x14ac:dyDescent="0.25">
      <c r="A23" s="22">
        <v>42429</v>
      </c>
      <c r="B23" s="26" t="s">
        <v>259</v>
      </c>
      <c r="C23" s="20"/>
      <c r="D23" s="31"/>
      <c r="E23" s="31">
        <v>280</v>
      </c>
      <c r="F23" s="31">
        <f t="shared" si="0"/>
        <v>799</v>
      </c>
    </row>
    <row r="24" spans="1:6" x14ac:dyDescent="0.25">
      <c r="A24" s="22">
        <v>42429</v>
      </c>
      <c r="B24" s="26" t="s">
        <v>260</v>
      </c>
      <c r="C24" s="20"/>
      <c r="D24" s="31"/>
      <c r="E24" s="31">
        <v>175</v>
      </c>
      <c r="F24" s="31">
        <f t="shared" si="0"/>
        <v>624</v>
      </c>
    </row>
    <row r="25" spans="1:6" x14ac:dyDescent="0.25">
      <c r="A25" s="22">
        <v>42429</v>
      </c>
      <c r="B25" s="26" t="s">
        <v>261</v>
      </c>
      <c r="C25" s="20"/>
      <c r="D25" s="31"/>
      <c r="E25" s="31">
        <v>75</v>
      </c>
      <c r="F25" s="31">
        <f t="shared" si="0"/>
        <v>549</v>
      </c>
    </row>
    <row r="26" spans="1:6" x14ac:dyDescent="0.25">
      <c r="A26" s="22">
        <v>42429</v>
      </c>
      <c r="B26" s="26" t="s">
        <v>262</v>
      </c>
      <c r="C26" s="20"/>
      <c r="D26" s="31"/>
      <c r="E26" s="31">
        <v>40</v>
      </c>
      <c r="F26" s="31">
        <f t="shared" si="0"/>
        <v>509</v>
      </c>
    </row>
    <row r="27" spans="1:6" x14ac:dyDescent="0.25">
      <c r="A27" s="22">
        <v>42429</v>
      </c>
      <c r="B27" s="26" t="s">
        <v>249</v>
      </c>
      <c r="C27" s="20"/>
      <c r="D27" s="31"/>
      <c r="E27" s="31">
        <v>509</v>
      </c>
      <c r="F27" s="31">
        <f>F26+D27-E27</f>
        <v>0</v>
      </c>
    </row>
    <row r="28" spans="1:6" ht="20.25" customHeight="1" x14ac:dyDescent="0.25">
      <c r="A28" s="57" t="s">
        <v>220</v>
      </c>
      <c r="B28" s="57"/>
      <c r="C28" s="57"/>
      <c r="D28" s="57"/>
      <c r="E28" s="57"/>
      <c r="F28" s="57"/>
    </row>
    <row r="29" spans="1:6" x14ac:dyDescent="0.25">
      <c r="A29" s="30" t="s">
        <v>111</v>
      </c>
      <c r="B29" s="58" t="s">
        <v>216</v>
      </c>
      <c r="C29" s="58"/>
      <c r="D29" s="30" t="s">
        <v>217</v>
      </c>
      <c r="E29" s="30" t="s">
        <v>218</v>
      </c>
      <c r="F29" s="30" t="s">
        <v>219</v>
      </c>
    </row>
    <row r="30" spans="1:6" x14ac:dyDescent="0.25">
      <c r="A30" s="22">
        <v>42413</v>
      </c>
      <c r="B30" s="26"/>
      <c r="C30" s="20"/>
      <c r="D30" s="32"/>
      <c r="E30" s="32"/>
      <c r="F30" s="32"/>
    </row>
    <row r="31" spans="1:6" x14ac:dyDescent="0.25">
      <c r="A31" s="22">
        <v>42429</v>
      </c>
      <c r="B31" s="26" t="s">
        <v>263</v>
      </c>
      <c r="C31" s="20"/>
      <c r="D31" s="32">
        <v>17485</v>
      </c>
      <c r="E31" s="32"/>
      <c r="F31" s="32">
        <f t="shared" ref="F31:F36" si="1">F30+D31-E31</f>
        <v>17485</v>
      </c>
    </row>
    <row r="32" spans="1:6" x14ac:dyDescent="0.25">
      <c r="A32" s="22">
        <v>42429</v>
      </c>
      <c r="B32" s="26" t="s">
        <v>264</v>
      </c>
      <c r="C32" s="20"/>
      <c r="D32" s="32"/>
      <c r="E32" s="32">
        <v>14343</v>
      </c>
      <c r="F32" s="32">
        <f t="shared" si="1"/>
        <v>3142</v>
      </c>
    </row>
    <row r="33" spans="1:7" x14ac:dyDescent="0.25">
      <c r="A33" s="22">
        <v>42429</v>
      </c>
      <c r="B33" s="26" t="s">
        <v>265</v>
      </c>
      <c r="C33" s="20"/>
      <c r="D33" s="32"/>
      <c r="E33" s="32">
        <v>1488</v>
      </c>
      <c r="F33" s="32">
        <f t="shared" si="1"/>
        <v>1654</v>
      </c>
    </row>
    <row r="34" spans="1:7" x14ac:dyDescent="0.25">
      <c r="A34" s="22">
        <v>42429</v>
      </c>
      <c r="B34" s="26" t="s">
        <v>266</v>
      </c>
      <c r="C34" s="20"/>
      <c r="D34" s="32"/>
      <c r="E34" s="32">
        <v>400</v>
      </c>
      <c r="F34" s="32">
        <f t="shared" si="1"/>
        <v>1254</v>
      </c>
    </row>
    <row r="35" spans="1:7" x14ac:dyDescent="0.25">
      <c r="A35" s="22">
        <v>42429</v>
      </c>
      <c r="B35" s="26" t="s">
        <v>267</v>
      </c>
      <c r="C35" s="20"/>
      <c r="D35" s="32"/>
      <c r="E35" s="32">
        <v>400</v>
      </c>
      <c r="F35" s="32">
        <f t="shared" si="1"/>
        <v>854</v>
      </c>
    </row>
    <row r="36" spans="1:7" x14ac:dyDescent="0.25">
      <c r="A36" s="22">
        <v>42429</v>
      </c>
      <c r="B36" s="26" t="s">
        <v>268</v>
      </c>
      <c r="C36" s="20"/>
      <c r="D36" s="32"/>
      <c r="E36" s="32">
        <v>320</v>
      </c>
      <c r="F36" s="32">
        <f t="shared" si="1"/>
        <v>534</v>
      </c>
    </row>
    <row r="37" spans="1:7" x14ac:dyDescent="0.25">
      <c r="A37" s="22">
        <v>42429</v>
      </c>
      <c r="B37" s="26" t="s">
        <v>269</v>
      </c>
      <c r="C37" s="20"/>
      <c r="D37" s="32"/>
      <c r="E37" s="32">
        <v>336.45</v>
      </c>
      <c r="F37" s="32">
        <f>F36+D37-E37</f>
        <v>197.55</v>
      </c>
    </row>
    <row r="38" spans="1:7" x14ac:dyDescent="0.25">
      <c r="A38" s="22"/>
      <c r="B38" s="26"/>
      <c r="C38" s="20"/>
      <c r="D38" s="32"/>
      <c r="E38" s="32"/>
      <c r="F38" s="32" t="str">
        <f t="shared" ref="F38:F39" si="2">IF(A38="","",F37+D38-E38)</f>
        <v/>
      </c>
    </row>
    <row r="39" spans="1:7" ht="9.75" customHeight="1" x14ac:dyDescent="0.25">
      <c r="A39" s="33"/>
      <c r="B39" s="18"/>
      <c r="C39" s="18"/>
      <c r="D39" s="34"/>
      <c r="E39" s="34"/>
      <c r="F39" s="34" t="str">
        <f t="shared" si="2"/>
        <v/>
      </c>
    </row>
    <row r="40" spans="1:7" ht="17.25" customHeight="1" x14ac:dyDescent="0.25">
      <c r="A40" s="18"/>
      <c r="B40" s="25"/>
      <c r="C40" s="23" t="s">
        <v>221</v>
      </c>
      <c r="E40" s="16"/>
      <c r="F40" s="16"/>
      <c r="G40" s="35"/>
    </row>
    <row r="41" spans="1:7" x14ac:dyDescent="0.25">
      <c r="A41" s="30" t="s">
        <v>111</v>
      </c>
      <c r="B41" s="30" t="s">
        <v>222</v>
      </c>
      <c r="C41" s="30" t="s">
        <v>223</v>
      </c>
      <c r="D41" s="30" t="s">
        <v>81</v>
      </c>
      <c r="E41" s="30" t="s">
        <v>224</v>
      </c>
      <c r="F41" s="30" t="s">
        <v>225</v>
      </c>
    </row>
    <row r="42" spans="1:7" x14ac:dyDescent="0.25">
      <c r="A42" s="22">
        <v>42408</v>
      </c>
      <c r="B42" s="29" t="s">
        <v>245</v>
      </c>
      <c r="C42" s="36" t="s">
        <v>246</v>
      </c>
      <c r="D42" s="37">
        <v>636603</v>
      </c>
      <c r="E42" s="24"/>
      <c r="F42" s="38"/>
    </row>
    <row r="43" spans="1:7" x14ac:dyDescent="0.25">
      <c r="A43" s="22">
        <v>42437</v>
      </c>
      <c r="B43" s="29" t="s">
        <v>270</v>
      </c>
      <c r="C43" s="36">
        <v>550</v>
      </c>
      <c r="D43" s="37">
        <v>638253</v>
      </c>
      <c r="E43" s="24">
        <f>D43-D42</f>
        <v>1650</v>
      </c>
      <c r="F43" s="38">
        <f>E43/C43</f>
        <v>3</v>
      </c>
    </row>
    <row r="44" spans="1:7" x14ac:dyDescent="0.25">
      <c r="A44" s="22">
        <v>42439</v>
      </c>
      <c r="B44" s="29" t="s">
        <v>271</v>
      </c>
      <c r="C44" s="36">
        <v>233</v>
      </c>
      <c r="D44" s="37">
        <v>639013</v>
      </c>
      <c r="E44" s="24">
        <f>D44-D43</f>
        <v>760</v>
      </c>
      <c r="F44" s="38">
        <f>E44/C44</f>
        <v>3.2618025751072963</v>
      </c>
    </row>
    <row r="45" spans="1:7" x14ac:dyDescent="0.25">
      <c r="A45" s="22">
        <v>42441</v>
      </c>
      <c r="B45" s="29" t="s">
        <v>272</v>
      </c>
      <c r="C45" s="36">
        <v>546</v>
      </c>
      <c r="D45" s="37">
        <v>640563</v>
      </c>
      <c r="E45" s="24">
        <f>D45-D44</f>
        <v>1550</v>
      </c>
      <c r="F45" s="38">
        <f>E45/C45</f>
        <v>2.838827838827839</v>
      </c>
    </row>
    <row r="46" spans="1:7" x14ac:dyDescent="0.25">
      <c r="A46" s="22">
        <v>42442</v>
      </c>
      <c r="B46" s="29" t="s">
        <v>250</v>
      </c>
      <c r="C46" s="36">
        <v>327</v>
      </c>
      <c r="D46" s="37">
        <v>641446</v>
      </c>
      <c r="E46" s="24">
        <f>D46-D45</f>
        <v>883</v>
      </c>
      <c r="F46" s="38">
        <f>E46/C46</f>
        <v>2.7003058103975537</v>
      </c>
    </row>
    <row r="47" spans="1:7" x14ac:dyDescent="0.25">
      <c r="A47" s="22"/>
      <c r="B47" s="29"/>
      <c r="C47" s="36"/>
      <c r="D47" s="37"/>
      <c r="E47" s="24"/>
      <c r="F47" s="38"/>
    </row>
    <row r="48" spans="1:7" x14ac:dyDescent="0.25">
      <c r="A48" s="22"/>
      <c r="B48" s="29"/>
      <c r="C48" s="36"/>
      <c r="D48" s="37"/>
      <c r="E48" s="24"/>
      <c r="F48" s="38"/>
    </row>
    <row r="49" spans="1:6" x14ac:dyDescent="0.25">
      <c r="A49" s="33"/>
      <c r="B49" s="33"/>
      <c r="C49" s="33"/>
      <c r="D49" s="16" t="s">
        <v>226</v>
      </c>
      <c r="E49" s="24">
        <v>4852</v>
      </c>
      <c r="F49" s="33"/>
    </row>
    <row r="50" spans="1:6" x14ac:dyDescent="0.25">
      <c r="A50" s="33"/>
      <c r="B50" s="16" t="s">
        <v>227</v>
      </c>
      <c r="C50" s="36">
        <f>IF(C43="","",(C43+C44+C45+C46+C47+C48))</f>
        <v>1656</v>
      </c>
      <c r="D50" s="16" t="s">
        <v>228</v>
      </c>
      <c r="E50" s="36">
        <f>IF(E43="","",(E43+E44+E45+E46+E47+E48))</f>
        <v>4843</v>
      </c>
      <c r="F50" s="39">
        <f>IF(E50="","",E50/C50)</f>
        <v>2.9245169082125604</v>
      </c>
    </row>
    <row r="51" spans="1:6" x14ac:dyDescent="0.25">
      <c r="A51" s="33"/>
      <c r="B51" s="16" t="s">
        <v>229</v>
      </c>
      <c r="C51" s="36">
        <v>1182.9000000000001</v>
      </c>
      <c r="D51" s="16" t="s">
        <v>230</v>
      </c>
      <c r="E51" s="24"/>
      <c r="F51" s="40"/>
    </row>
    <row r="52" spans="1:6" x14ac:dyDescent="0.25">
      <c r="A52" s="30" t="s">
        <v>231</v>
      </c>
      <c r="B52" s="25"/>
      <c r="C52" s="18"/>
      <c r="D52" s="18"/>
      <c r="E52" s="18"/>
      <c r="F52" s="18"/>
    </row>
    <row r="53" spans="1:6" ht="57.75" customHeight="1" x14ac:dyDescent="0.25">
      <c r="A53" s="59"/>
      <c r="B53" s="60"/>
      <c r="C53" s="60"/>
      <c r="D53" s="60"/>
      <c r="E53" s="60"/>
      <c r="F53" s="61"/>
    </row>
    <row r="54" spans="1:6" ht="18" customHeight="1" x14ac:dyDescent="0.25"/>
  </sheetData>
  <mergeCells count="5">
    <mergeCell ref="A15:F15"/>
    <mergeCell ref="B16:C16"/>
    <mergeCell ref="A28:F28"/>
    <mergeCell ref="B29:C29"/>
    <mergeCell ref="A53:F53"/>
  </mergeCells>
  <printOptions horizontalCentered="1"/>
  <pageMargins left="0" right="0" top="0" bottom="0" header="0.3" footer="0.3"/>
  <pageSetup paperSize="9" scale="97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E168"/>
  <sheetViews>
    <sheetView workbookViewId="0">
      <pane ySplit="9" topLeftCell="A10" activePane="bottomLeft" state="frozen"/>
      <selection activeCell="C58" sqref="C58"/>
      <selection pane="bottomLeft" activeCell="B17" sqref="B17"/>
    </sheetView>
  </sheetViews>
  <sheetFormatPr defaultRowHeight="15" x14ac:dyDescent="0.25"/>
  <cols>
    <col min="1" max="1" width="13.42578125" style="42" customWidth="1"/>
    <col min="2" max="2" width="78.42578125" customWidth="1"/>
    <col min="3" max="3" width="14.85546875" style="41" customWidth="1"/>
  </cols>
  <sheetData>
    <row r="1" spans="1:5" s="1" customFormat="1" x14ac:dyDescent="0.25">
      <c r="B1" s="1" t="s">
        <v>112</v>
      </c>
      <c r="C1" s="43" t="s">
        <v>113</v>
      </c>
    </row>
    <row r="2" spans="1:5" x14ac:dyDescent="0.25">
      <c r="A2" s="42" t="s">
        <v>170</v>
      </c>
      <c r="B2" t="s">
        <v>190</v>
      </c>
      <c r="E2" s="50"/>
    </row>
    <row r="3" spans="1:5" x14ac:dyDescent="0.25">
      <c r="A3" s="42" t="s">
        <v>171</v>
      </c>
      <c r="B3" t="s">
        <v>191</v>
      </c>
      <c r="E3" s="50"/>
    </row>
    <row r="4" spans="1:5" x14ac:dyDescent="0.25">
      <c r="A4" s="42" t="s">
        <v>172</v>
      </c>
      <c r="B4" t="s">
        <v>192</v>
      </c>
      <c r="E4" s="50"/>
    </row>
    <row r="5" spans="1:5" x14ac:dyDescent="0.25">
      <c r="A5" s="42" t="s">
        <v>173</v>
      </c>
      <c r="B5" t="s">
        <v>193</v>
      </c>
      <c r="E5" s="50"/>
    </row>
    <row r="6" spans="1:5" x14ac:dyDescent="0.25">
      <c r="A6" s="42" t="s">
        <v>174</v>
      </c>
      <c r="B6" s="51" t="s">
        <v>194</v>
      </c>
      <c r="C6" s="52" t="s">
        <v>292</v>
      </c>
      <c r="E6" s="50"/>
    </row>
    <row r="7" spans="1:5" x14ac:dyDescent="0.25">
      <c r="A7" s="42" t="s">
        <v>175</v>
      </c>
      <c r="B7" s="51" t="s">
        <v>296</v>
      </c>
      <c r="E7" s="50"/>
    </row>
    <row r="8" spans="1:5" x14ac:dyDescent="0.25">
      <c r="B8" s="51"/>
    </row>
    <row r="9" spans="1:5" x14ac:dyDescent="0.25">
      <c r="A9" s="43" t="s">
        <v>111</v>
      </c>
      <c r="B9" s="1" t="s">
        <v>114</v>
      </c>
      <c r="C9" s="1" t="s">
        <v>115</v>
      </c>
    </row>
    <row r="10" spans="1:5" x14ac:dyDescent="0.25">
      <c r="A10" s="42">
        <v>42755</v>
      </c>
      <c r="B10" s="53" t="s">
        <v>295</v>
      </c>
      <c r="C10" s="41" t="s">
        <v>150</v>
      </c>
    </row>
    <row r="11" spans="1:5" x14ac:dyDescent="0.25">
      <c r="B11" s="53"/>
    </row>
    <row r="12" spans="1:5" x14ac:dyDescent="0.25">
      <c r="B12" s="53"/>
    </row>
    <row r="13" spans="1:5" x14ac:dyDescent="0.25">
      <c r="B13" s="53"/>
    </row>
    <row r="14" spans="1:5" x14ac:dyDescent="0.25">
      <c r="B14" s="53"/>
    </row>
    <row r="15" spans="1:5" x14ac:dyDescent="0.25">
      <c r="B15" s="53"/>
    </row>
    <row r="16" spans="1:5" x14ac:dyDescent="0.25">
      <c r="B16" s="53"/>
    </row>
    <row r="17" spans="2:2" x14ac:dyDescent="0.25">
      <c r="B17" s="53"/>
    </row>
    <row r="18" spans="2:2" x14ac:dyDescent="0.25">
      <c r="B18" s="53"/>
    </row>
    <row r="19" spans="2:2" x14ac:dyDescent="0.25">
      <c r="B19" s="53"/>
    </row>
    <row r="20" spans="2:2" x14ac:dyDescent="0.25">
      <c r="B20" s="53"/>
    </row>
    <row r="21" spans="2:2" x14ac:dyDescent="0.25">
      <c r="B21" s="53"/>
    </row>
    <row r="22" spans="2:2" x14ac:dyDescent="0.25">
      <c r="B22" s="53"/>
    </row>
    <row r="23" spans="2:2" x14ac:dyDescent="0.25">
      <c r="B23" s="53"/>
    </row>
    <row r="24" spans="2:2" x14ac:dyDescent="0.25">
      <c r="B24" s="53"/>
    </row>
    <row r="25" spans="2:2" x14ac:dyDescent="0.25">
      <c r="B25" s="53"/>
    </row>
    <row r="26" spans="2:2" x14ac:dyDescent="0.25">
      <c r="B26" s="53"/>
    </row>
    <row r="27" spans="2:2" x14ac:dyDescent="0.25">
      <c r="B27" s="53"/>
    </row>
    <row r="28" spans="2:2" x14ac:dyDescent="0.25">
      <c r="B28" s="53"/>
    </row>
    <row r="29" spans="2:2" x14ac:dyDescent="0.25">
      <c r="B29" s="53"/>
    </row>
    <row r="30" spans="2:2" x14ac:dyDescent="0.25">
      <c r="B30" s="53"/>
    </row>
    <row r="31" spans="2:2" x14ac:dyDescent="0.25">
      <c r="B31" s="53"/>
    </row>
    <row r="32" spans="2:2" x14ac:dyDescent="0.25">
      <c r="B32" s="53"/>
    </row>
    <row r="33" spans="2:2" x14ac:dyDescent="0.25">
      <c r="B33" s="53"/>
    </row>
    <row r="34" spans="2:2" x14ac:dyDescent="0.25">
      <c r="B34" s="53"/>
    </row>
    <row r="35" spans="2:2" x14ac:dyDescent="0.25">
      <c r="B35" s="53"/>
    </row>
    <row r="36" spans="2:2" x14ac:dyDescent="0.25">
      <c r="B36" s="53"/>
    </row>
    <row r="37" spans="2:2" x14ac:dyDescent="0.25">
      <c r="B37" s="53"/>
    </row>
    <row r="38" spans="2:2" x14ac:dyDescent="0.25">
      <c r="B38" s="53"/>
    </row>
    <row r="39" spans="2:2" x14ac:dyDescent="0.25">
      <c r="B39" s="53"/>
    </row>
    <row r="40" spans="2:2" x14ac:dyDescent="0.25">
      <c r="B40" s="53"/>
    </row>
    <row r="41" spans="2:2" x14ac:dyDescent="0.25">
      <c r="B41" s="53"/>
    </row>
    <row r="42" spans="2:2" x14ac:dyDescent="0.25">
      <c r="B42" s="53"/>
    </row>
    <row r="43" spans="2:2" x14ac:dyDescent="0.25">
      <c r="B43" s="53"/>
    </row>
    <row r="44" spans="2:2" x14ac:dyDescent="0.25">
      <c r="B44" s="53"/>
    </row>
    <row r="45" spans="2:2" x14ac:dyDescent="0.25">
      <c r="B45" s="53"/>
    </row>
    <row r="46" spans="2:2" x14ac:dyDescent="0.25">
      <c r="B46" s="53"/>
    </row>
    <row r="47" spans="2:2" x14ac:dyDescent="0.25">
      <c r="B47" s="53"/>
    </row>
    <row r="48" spans="2:2" x14ac:dyDescent="0.25">
      <c r="B48" s="53"/>
    </row>
    <row r="49" spans="2:2" x14ac:dyDescent="0.25">
      <c r="B49" s="53"/>
    </row>
    <row r="50" spans="2:2" x14ac:dyDescent="0.25">
      <c r="B50" s="53"/>
    </row>
    <row r="51" spans="2:2" x14ac:dyDescent="0.25">
      <c r="B51" s="53"/>
    </row>
    <row r="52" spans="2:2" x14ac:dyDescent="0.25">
      <c r="B52" s="53"/>
    </row>
    <row r="53" spans="2:2" x14ac:dyDescent="0.25">
      <c r="B53" s="53"/>
    </row>
    <row r="54" spans="2:2" x14ac:dyDescent="0.25">
      <c r="B54" s="53"/>
    </row>
    <row r="55" spans="2:2" x14ac:dyDescent="0.25">
      <c r="B55" s="53"/>
    </row>
    <row r="56" spans="2:2" x14ac:dyDescent="0.25">
      <c r="B56" s="53"/>
    </row>
    <row r="57" spans="2:2" x14ac:dyDescent="0.25">
      <c r="B57" s="53"/>
    </row>
    <row r="58" spans="2:2" x14ac:dyDescent="0.25">
      <c r="B58" s="53"/>
    </row>
    <row r="59" spans="2:2" x14ac:dyDescent="0.25">
      <c r="B59" s="53"/>
    </row>
    <row r="60" spans="2:2" x14ac:dyDescent="0.25">
      <c r="B60" s="53"/>
    </row>
    <row r="61" spans="2:2" x14ac:dyDescent="0.25">
      <c r="B61" s="53"/>
    </row>
    <row r="62" spans="2:2" x14ac:dyDescent="0.25">
      <c r="B62" s="53"/>
    </row>
    <row r="63" spans="2:2" x14ac:dyDescent="0.25">
      <c r="B63" s="53"/>
    </row>
    <row r="64" spans="2:2" x14ac:dyDescent="0.25">
      <c r="B64" s="53"/>
    </row>
    <row r="65" spans="2:2" x14ac:dyDescent="0.25">
      <c r="B65" s="53"/>
    </row>
    <row r="66" spans="2:2" x14ac:dyDescent="0.25">
      <c r="B66" s="53"/>
    </row>
    <row r="67" spans="2:2" x14ac:dyDescent="0.25">
      <c r="B67" s="53"/>
    </row>
    <row r="68" spans="2:2" x14ac:dyDescent="0.25">
      <c r="B68" s="53"/>
    </row>
    <row r="69" spans="2:2" x14ac:dyDescent="0.25">
      <c r="B69" s="53"/>
    </row>
    <row r="70" spans="2:2" x14ac:dyDescent="0.25">
      <c r="B70" s="53"/>
    </row>
    <row r="71" spans="2:2" x14ac:dyDescent="0.25">
      <c r="B71" s="53"/>
    </row>
    <row r="72" spans="2:2" x14ac:dyDescent="0.25">
      <c r="B72" s="53"/>
    </row>
    <row r="73" spans="2:2" x14ac:dyDescent="0.25">
      <c r="B73" s="53"/>
    </row>
    <row r="74" spans="2:2" x14ac:dyDescent="0.25">
      <c r="B74" s="53"/>
    </row>
    <row r="75" spans="2:2" x14ac:dyDescent="0.25">
      <c r="B75" s="53"/>
    </row>
    <row r="76" spans="2:2" x14ac:dyDescent="0.25">
      <c r="B76" s="53"/>
    </row>
    <row r="77" spans="2:2" x14ac:dyDescent="0.25">
      <c r="B77" s="53"/>
    </row>
    <row r="78" spans="2:2" x14ac:dyDescent="0.25">
      <c r="B78" s="53"/>
    </row>
    <row r="79" spans="2:2" x14ac:dyDescent="0.25">
      <c r="B79" s="53"/>
    </row>
    <row r="80" spans="2:2" x14ac:dyDescent="0.25">
      <c r="B80" s="53"/>
    </row>
    <row r="81" spans="2:2" x14ac:dyDescent="0.25">
      <c r="B81" s="53"/>
    </row>
    <row r="82" spans="2:2" x14ac:dyDescent="0.25">
      <c r="B82" s="53"/>
    </row>
    <row r="83" spans="2:2" x14ac:dyDescent="0.25">
      <c r="B83" s="53"/>
    </row>
    <row r="84" spans="2:2" x14ac:dyDescent="0.25">
      <c r="B84" s="53"/>
    </row>
    <row r="85" spans="2:2" x14ac:dyDescent="0.25">
      <c r="B85" s="53"/>
    </row>
    <row r="86" spans="2:2" x14ac:dyDescent="0.25">
      <c r="B86" s="53"/>
    </row>
    <row r="87" spans="2:2" x14ac:dyDescent="0.25">
      <c r="B87" s="53"/>
    </row>
    <row r="88" spans="2:2" x14ac:dyDescent="0.25">
      <c r="B88" s="53"/>
    </row>
    <row r="89" spans="2:2" x14ac:dyDescent="0.25">
      <c r="B89" s="53"/>
    </row>
    <row r="90" spans="2:2" x14ac:dyDescent="0.25">
      <c r="B90" s="53"/>
    </row>
    <row r="91" spans="2:2" x14ac:dyDescent="0.25">
      <c r="B91" s="53"/>
    </row>
    <row r="92" spans="2:2" x14ac:dyDescent="0.25">
      <c r="B92" s="53"/>
    </row>
    <row r="93" spans="2:2" x14ac:dyDescent="0.25">
      <c r="B93" s="53"/>
    </row>
    <row r="94" spans="2:2" x14ac:dyDescent="0.25">
      <c r="B94" s="53"/>
    </row>
    <row r="95" spans="2:2" x14ac:dyDescent="0.25">
      <c r="B95" s="53"/>
    </row>
    <row r="96" spans="2:2" x14ac:dyDescent="0.25">
      <c r="B96" s="53"/>
    </row>
    <row r="97" spans="2:2" x14ac:dyDescent="0.25">
      <c r="B97" s="53"/>
    </row>
    <row r="98" spans="2:2" x14ac:dyDescent="0.25">
      <c r="B98" s="53"/>
    </row>
    <row r="99" spans="2:2" x14ac:dyDescent="0.25">
      <c r="B99" s="53"/>
    </row>
    <row r="100" spans="2:2" x14ac:dyDescent="0.25">
      <c r="B100" s="53"/>
    </row>
    <row r="101" spans="2:2" x14ac:dyDescent="0.25">
      <c r="B101" s="53"/>
    </row>
    <row r="102" spans="2:2" x14ac:dyDescent="0.25">
      <c r="B102" s="53"/>
    </row>
    <row r="103" spans="2:2" x14ac:dyDescent="0.25">
      <c r="B103" s="53"/>
    </row>
    <row r="104" spans="2:2" x14ac:dyDescent="0.25">
      <c r="B104" s="53"/>
    </row>
    <row r="105" spans="2:2" x14ac:dyDescent="0.25">
      <c r="B105" s="53"/>
    </row>
    <row r="106" spans="2:2" x14ac:dyDescent="0.25">
      <c r="B106" s="53"/>
    </row>
    <row r="107" spans="2:2" x14ac:dyDescent="0.25">
      <c r="B107" s="53"/>
    </row>
    <row r="108" spans="2:2" x14ac:dyDescent="0.25">
      <c r="B108" s="53"/>
    </row>
    <row r="109" spans="2:2" x14ac:dyDescent="0.25">
      <c r="B109" s="53"/>
    </row>
    <row r="110" spans="2:2" x14ac:dyDescent="0.25">
      <c r="B110" s="53"/>
    </row>
    <row r="111" spans="2:2" x14ac:dyDescent="0.25">
      <c r="B111" s="53"/>
    </row>
    <row r="112" spans="2:2" x14ac:dyDescent="0.25">
      <c r="B112" s="53"/>
    </row>
    <row r="113" spans="2:2" x14ac:dyDescent="0.25">
      <c r="B113" s="53"/>
    </row>
    <row r="114" spans="2:2" x14ac:dyDescent="0.25">
      <c r="B114" s="53"/>
    </row>
    <row r="115" spans="2:2" x14ac:dyDescent="0.25">
      <c r="B115" s="53"/>
    </row>
    <row r="116" spans="2:2" x14ac:dyDescent="0.25">
      <c r="B116" s="53"/>
    </row>
    <row r="117" spans="2:2" x14ac:dyDescent="0.25">
      <c r="B117" s="53"/>
    </row>
    <row r="118" spans="2:2" x14ac:dyDescent="0.25">
      <c r="B118" s="53"/>
    </row>
    <row r="119" spans="2:2" x14ac:dyDescent="0.25">
      <c r="B119" s="53"/>
    </row>
    <row r="120" spans="2:2" x14ac:dyDescent="0.25">
      <c r="B120" s="53"/>
    </row>
    <row r="121" spans="2:2" x14ac:dyDescent="0.25">
      <c r="B121" s="53"/>
    </row>
    <row r="122" spans="2:2" x14ac:dyDescent="0.25">
      <c r="B122" s="53"/>
    </row>
    <row r="123" spans="2:2" x14ac:dyDescent="0.25">
      <c r="B123" s="53"/>
    </row>
    <row r="124" spans="2:2" x14ac:dyDescent="0.25">
      <c r="B124" s="53"/>
    </row>
    <row r="125" spans="2:2" x14ac:dyDescent="0.25">
      <c r="B125" s="53"/>
    </row>
    <row r="126" spans="2:2" x14ac:dyDescent="0.25">
      <c r="B126" s="53"/>
    </row>
    <row r="127" spans="2:2" x14ac:dyDescent="0.25">
      <c r="B127" s="53"/>
    </row>
    <row r="128" spans="2:2" x14ac:dyDescent="0.25">
      <c r="B128" s="53"/>
    </row>
    <row r="129" spans="2:2" x14ac:dyDescent="0.25">
      <c r="B129" s="53"/>
    </row>
    <row r="130" spans="2:2" x14ac:dyDescent="0.25">
      <c r="B130" s="53"/>
    </row>
    <row r="131" spans="2:2" x14ac:dyDescent="0.25">
      <c r="B131" s="53"/>
    </row>
    <row r="132" spans="2:2" x14ac:dyDescent="0.25">
      <c r="B132" s="53"/>
    </row>
    <row r="133" spans="2:2" x14ac:dyDescent="0.25">
      <c r="B133" s="53"/>
    </row>
    <row r="134" spans="2:2" x14ac:dyDescent="0.25">
      <c r="B134" s="53"/>
    </row>
    <row r="135" spans="2:2" x14ac:dyDescent="0.25">
      <c r="B135" s="53"/>
    </row>
    <row r="136" spans="2:2" x14ac:dyDescent="0.25">
      <c r="B136" s="53"/>
    </row>
    <row r="137" spans="2:2" x14ac:dyDescent="0.25">
      <c r="B137" s="53"/>
    </row>
    <row r="138" spans="2:2" x14ac:dyDescent="0.25">
      <c r="B138" s="53"/>
    </row>
    <row r="139" spans="2:2" x14ac:dyDescent="0.25">
      <c r="B139" s="53"/>
    </row>
    <row r="140" spans="2:2" x14ac:dyDescent="0.25">
      <c r="B140" s="53"/>
    </row>
    <row r="141" spans="2:2" x14ac:dyDescent="0.25">
      <c r="B141" s="53"/>
    </row>
    <row r="142" spans="2:2" x14ac:dyDescent="0.25">
      <c r="B142" s="53"/>
    </row>
    <row r="143" spans="2:2" x14ac:dyDescent="0.25">
      <c r="B143" s="53"/>
    </row>
    <row r="144" spans="2:2" x14ac:dyDescent="0.25">
      <c r="B144" s="53"/>
    </row>
    <row r="145" spans="2:2" x14ac:dyDescent="0.25">
      <c r="B145" s="53"/>
    </row>
    <row r="146" spans="2:2" x14ac:dyDescent="0.25">
      <c r="B146" s="53"/>
    </row>
    <row r="147" spans="2:2" x14ac:dyDescent="0.25">
      <c r="B147" s="53"/>
    </row>
    <row r="148" spans="2:2" x14ac:dyDescent="0.25">
      <c r="B148" s="53"/>
    </row>
    <row r="149" spans="2:2" x14ac:dyDescent="0.25">
      <c r="B149" s="53"/>
    </row>
    <row r="150" spans="2:2" x14ac:dyDescent="0.25">
      <c r="B150" s="53"/>
    </row>
    <row r="151" spans="2:2" x14ac:dyDescent="0.25">
      <c r="B151" s="53"/>
    </row>
    <row r="152" spans="2:2" x14ac:dyDescent="0.25">
      <c r="B152" s="53"/>
    </row>
    <row r="153" spans="2:2" x14ac:dyDescent="0.25">
      <c r="B153" s="53"/>
    </row>
    <row r="154" spans="2:2" x14ac:dyDescent="0.25">
      <c r="B154" s="53"/>
    </row>
    <row r="155" spans="2:2" x14ac:dyDescent="0.25">
      <c r="B155" s="53"/>
    </row>
    <row r="156" spans="2:2" x14ac:dyDescent="0.25">
      <c r="B156" s="53"/>
    </row>
    <row r="157" spans="2:2" x14ac:dyDescent="0.25">
      <c r="B157" s="53"/>
    </row>
    <row r="158" spans="2:2" x14ac:dyDescent="0.25">
      <c r="B158" s="53"/>
    </row>
    <row r="159" spans="2:2" x14ac:dyDescent="0.25">
      <c r="B159" s="53"/>
    </row>
    <row r="160" spans="2:2" x14ac:dyDescent="0.25">
      <c r="B160" s="53"/>
    </row>
    <row r="161" spans="2:2" x14ac:dyDescent="0.25">
      <c r="B161" s="53"/>
    </row>
    <row r="162" spans="2:2" x14ac:dyDescent="0.25">
      <c r="B162" s="53"/>
    </row>
    <row r="163" spans="2:2" x14ac:dyDescent="0.25">
      <c r="B163" s="53"/>
    </row>
    <row r="164" spans="2:2" x14ac:dyDescent="0.25">
      <c r="B164" s="53"/>
    </row>
    <row r="165" spans="2:2" x14ac:dyDescent="0.25">
      <c r="B165" s="53"/>
    </row>
    <row r="166" spans="2:2" x14ac:dyDescent="0.25">
      <c r="B166" s="53"/>
    </row>
    <row r="167" spans="2:2" x14ac:dyDescent="0.25">
      <c r="B167" s="53"/>
    </row>
    <row r="168" spans="2:2" x14ac:dyDescent="0.25">
      <c r="B168" s="53"/>
    </row>
  </sheetData>
  <printOptions horizontalCentered="1" gridLines="1"/>
  <pageMargins left="0" right="0" top="0.5" bottom="0.5" header="0.3" footer="0.3"/>
  <pageSetup paperSize="9" fitToHeight="10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COVER</vt:lpstr>
      <vt:lpstr>LINK</vt:lpstr>
      <vt:lpstr>EMAILS</vt:lpstr>
      <vt:lpstr>EMAILS1</vt:lpstr>
      <vt:lpstr>EMAILS2</vt:lpstr>
      <vt:lpstr>DATA</vt:lpstr>
      <vt:lpstr>CONTROLS</vt:lpstr>
      <vt:lpstr>REF</vt:lpstr>
      <vt:lpstr>TS</vt:lpstr>
      <vt:lpstr>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Gary Aitchison</cp:lastModifiedBy>
  <dcterms:created xsi:type="dcterms:W3CDTF">2016-01-07T05:52:51Z</dcterms:created>
  <dcterms:modified xsi:type="dcterms:W3CDTF">2024-01-08T13:04:15Z</dcterms:modified>
</cp:coreProperties>
</file>