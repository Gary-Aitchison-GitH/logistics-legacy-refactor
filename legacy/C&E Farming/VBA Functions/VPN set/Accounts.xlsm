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VPN set\"/>
    </mc:Choice>
  </mc:AlternateContent>
  <xr:revisionPtr revIDLastSave="0" documentId="13_ncr:1_{259987A2-246A-4831-88EE-6B5835E756B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CD3" sheetId="9" state="hidden" r:id="rId2"/>
    <sheet name="LINK" sheetId="2" state="hidden" r:id="rId3"/>
    <sheet name="LISTS" sheetId="3" state="hidden" r:id="rId4"/>
    <sheet name="DEBTORLOG" sheetId="10" state="hidden" r:id="rId5"/>
    <sheet name="LOG" sheetId="7" state="hidden" r:id="rId6"/>
    <sheet name="REF" sheetId="4" state="hidden" r:id="rId7"/>
    <sheet name="SUMMARY" sheetId="5" state="hidden" r:id="rId8"/>
    <sheet name="ACC" sheetId="6" state="hidden" r:id="rId9"/>
    <sheet name="CREDITORS" sheetId="8" state="hidden" r:id="rId10"/>
  </sheets>
  <definedNames>
    <definedName name="_xlnm._FilterDatabase" localSheetId="1" hidden="1">'CD3'!#REF!</definedName>
    <definedName name="_xlnm._FilterDatabase" localSheetId="4" hidden="1">DEBTORLOG!$A$1:$D$52</definedName>
    <definedName name="_xlnm._FilterDatabase" localSheetId="5" hidden="1">LOG!$A$1:$C$113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03" i="9" l="1"/>
  <c r="L301" i="9"/>
  <c r="L300" i="9"/>
  <c r="L299" i="9"/>
  <c r="L298" i="9"/>
  <c r="L295" i="9"/>
  <c r="L294" i="9"/>
  <c r="L293" i="9"/>
  <c r="L292" i="9"/>
  <c r="L291" i="9"/>
  <c r="L290" i="9"/>
  <c r="L289" i="9"/>
  <c r="L287" i="9"/>
  <c r="L286" i="9"/>
  <c r="L285" i="9"/>
  <c r="L284" i="9"/>
  <c r="L283" i="9"/>
  <c r="L282" i="9"/>
  <c r="L281" i="9"/>
  <c r="L280" i="9"/>
  <c r="L279" i="9"/>
  <c r="L278" i="9"/>
  <c r="L277" i="9"/>
  <c r="L276" i="9"/>
  <c r="L275" i="9"/>
  <c r="L274" i="9"/>
  <c r="L273" i="9"/>
  <c r="L272" i="9"/>
  <c r="L271" i="9"/>
  <c r="L270" i="9"/>
  <c r="L269" i="9"/>
  <c r="L268" i="9"/>
  <c r="L267" i="9"/>
  <c r="L266" i="9"/>
  <c r="L265" i="9"/>
  <c r="L264" i="9"/>
  <c r="L263" i="9"/>
  <c r="L262" i="9"/>
  <c r="L261" i="9"/>
  <c r="L260" i="9"/>
  <c r="L259" i="9"/>
  <c r="L258" i="9"/>
  <c r="L257" i="9"/>
  <c r="L256" i="9"/>
  <c r="L255" i="9"/>
  <c r="L254" i="9"/>
  <c r="L253" i="9"/>
  <c r="L252" i="9"/>
  <c r="L251" i="9"/>
  <c r="L250" i="9"/>
  <c r="L249" i="9"/>
  <c r="L248" i="9"/>
  <c r="L247" i="9"/>
  <c r="L246" i="9"/>
  <c r="L245" i="9"/>
  <c r="L244" i="9"/>
  <c r="L243" i="9"/>
  <c r="L242" i="9"/>
  <c r="L241" i="9"/>
  <c r="L240" i="9"/>
  <c r="L239" i="9"/>
  <c r="L238" i="9"/>
  <c r="L237" i="9"/>
  <c r="L236" i="9"/>
  <c r="L235" i="9"/>
  <c r="L234" i="9"/>
  <c r="L233" i="9"/>
  <c r="L232" i="9"/>
  <c r="L231" i="9"/>
  <c r="L230" i="9"/>
  <c r="L229" i="9"/>
  <c r="L228" i="9"/>
  <c r="L227" i="9"/>
  <c r="L226" i="9"/>
  <c r="L225" i="9"/>
  <c r="L224" i="9"/>
  <c r="L223" i="9"/>
  <c r="L216" i="9"/>
  <c r="L215" i="9"/>
  <c r="L214" i="9"/>
  <c r="L213" i="9"/>
  <c r="L212" i="9"/>
  <c r="L211" i="9"/>
  <c r="L210" i="9"/>
  <c r="L209" i="9"/>
  <c r="L208" i="9"/>
  <c r="L207" i="9"/>
  <c r="L206" i="9"/>
  <c r="L205" i="9"/>
  <c r="L204" i="9"/>
  <c r="L203" i="9"/>
  <c r="L202" i="9"/>
  <c r="L201" i="9"/>
  <c r="L200" i="9"/>
  <c r="L199" i="9"/>
  <c r="L198" i="9"/>
  <c r="L197" i="9"/>
  <c r="L196" i="9"/>
  <c r="L195" i="9"/>
  <c r="L194" i="9"/>
  <c r="L193" i="9"/>
  <c r="L192" i="9"/>
  <c r="L191" i="9"/>
  <c r="L190" i="9"/>
  <c r="L189" i="9"/>
  <c r="L188" i="9"/>
  <c r="L187" i="9"/>
  <c r="L186" i="9"/>
  <c r="L185" i="9"/>
  <c r="L184" i="9"/>
  <c r="L183" i="9"/>
  <c r="L182" i="9"/>
  <c r="L181" i="9"/>
  <c r="L180" i="9"/>
  <c r="L179" i="9"/>
  <c r="L178" i="9"/>
  <c r="L177" i="9"/>
  <c r="L176" i="9"/>
  <c r="L175" i="9"/>
  <c r="L174" i="9"/>
  <c r="L173" i="9"/>
  <c r="L172" i="9"/>
  <c r="L171" i="9"/>
  <c r="L170" i="9"/>
  <c r="L169" i="9"/>
  <c r="L168" i="9"/>
  <c r="L167" i="9"/>
  <c r="L166" i="9"/>
  <c r="L165" i="9"/>
  <c r="L164" i="9"/>
  <c r="L163" i="9"/>
  <c r="L162" i="9"/>
  <c r="L161" i="9"/>
  <c r="L160" i="9"/>
  <c r="L159" i="9"/>
  <c r="L158" i="9"/>
  <c r="L157" i="9"/>
  <c r="L156" i="9"/>
  <c r="L155" i="9"/>
  <c r="L154" i="9"/>
  <c r="L153" i="9"/>
  <c r="L152" i="9"/>
  <c r="L151" i="9"/>
  <c r="L150" i="9"/>
  <c r="L149" i="9"/>
  <c r="L148" i="9"/>
  <c r="L147" i="9"/>
  <c r="L146" i="9"/>
  <c r="L145" i="9"/>
  <c r="L144" i="9"/>
  <c r="L143" i="9"/>
  <c r="L142" i="9"/>
  <c r="L141" i="9"/>
  <c r="L140" i="9"/>
  <c r="L139" i="9"/>
  <c r="L138" i="9"/>
  <c r="L137" i="9"/>
  <c r="L136" i="9"/>
  <c r="L135" i="9"/>
  <c r="L134" i="9"/>
  <c r="L133" i="9"/>
  <c r="L132" i="9"/>
  <c r="L131" i="9"/>
  <c r="L130" i="9"/>
  <c r="L129" i="9"/>
  <c r="L128" i="9"/>
  <c r="L127" i="9"/>
  <c r="L126" i="9"/>
  <c r="L125" i="9"/>
  <c r="L124" i="9"/>
  <c r="L123" i="9"/>
  <c r="L122" i="9"/>
  <c r="L121" i="9"/>
  <c r="L120" i="9"/>
  <c r="L119" i="9"/>
  <c r="L118" i="9"/>
  <c r="L117" i="9"/>
  <c r="L116" i="9"/>
  <c r="L115" i="9"/>
  <c r="L114" i="9"/>
  <c r="L113" i="9"/>
  <c r="L112" i="9"/>
  <c r="L111" i="9"/>
  <c r="L110" i="9"/>
  <c r="L109" i="9"/>
  <c r="L108" i="9"/>
  <c r="L107" i="9"/>
  <c r="L106" i="9"/>
  <c r="L105" i="9"/>
  <c r="L104" i="9"/>
  <c r="L103" i="9"/>
  <c r="L99" i="9"/>
  <c r="L98" i="9"/>
  <c r="L93" i="9"/>
  <c r="L92" i="9"/>
  <c r="L89" i="9"/>
  <c r="L88" i="9"/>
  <c r="L86" i="9"/>
  <c r="L85" i="9"/>
  <c r="L84" i="9"/>
  <c r="L83" i="9"/>
  <c r="L82" i="9"/>
  <c r="L81" i="9"/>
  <c r="L80" i="9"/>
  <c r="L79" i="9"/>
  <c r="L78" i="9"/>
  <c r="L77" i="9"/>
  <c r="L76" i="9"/>
  <c r="L75" i="9"/>
  <c r="L74" i="9"/>
  <c r="L72" i="9"/>
  <c r="L71" i="9"/>
  <c r="L70" i="9"/>
  <c r="L69" i="9"/>
  <c r="L68" i="9"/>
  <c r="L66" i="9"/>
  <c r="L65" i="9"/>
  <c r="L64" i="9"/>
  <c r="L63" i="9"/>
  <c r="L62" i="9"/>
  <c r="L61" i="9"/>
  <c r="L60" i="9"/>
  <c r="L59" i="9"/>
  <c r="L58" i="9"/>
  <c r="L57" i="9"/>
  <c r="L56" i="9"/>
  <c r="L55" i="9"/>
  <c r="L54" i="9"/>
  <c r="L53" i="9"/>
  <c r="L52" i="9"/>
  <c r="L51" i="9"/>
  <c r="L50" i="9"/>
  <c r="L49" i="9"/>
  <c r="G13" i="10" l="1"/>
  <c r="G12" i="10"/>
  <c r="G11" i="10"/>
  <c r="G10" i="10"/>
  <c r="G9" i="10"/>
  <c r="G8" i="10"/>
  <c r="G7" i="10"/>
  <c r="G6" i="10"/>
  <c r="G5" i="10"/>
  <c r="G4" i="10"/>
  <c r="G3" i="10"/>
  <c r="G2" i="10"/>
  <c r="B79" i="2" l="1"/>
  <c r="B78" i="2"/>
  <c r="B98" i="2" l="1"/>
  <c r="B97" i="2" s="1"/>
  <c r="B99" i="2" s="1"/>
  <c r="A75" i="2" l="1"/>
  <c r="B75" i="2" s="1"/>
  <c r="C21" i="2" l="1"/>
  <c r="E19" i="2"/>
  <c r="B76" i="2" s="1"/>
  <c r="B73" i="2" s="1"/>
  <c r="D73" i="2" s="1"/>
  <c r="D11" i="2" l="1"/>
  <c r="F26" i="2" s="1"/>
  <c r="D9" i="2" l="1"/>
  <c r="B64" i="2" l="1"/>
  <c r="C63" i="2"/>
  <c r="C62" i="2"/>
  <c r="C64" i="2" l="1"/>
  <c r="D53" i="2"/>
  <c r="B51" i="2" l="1"/>
  <c r="B52" i="2" s="1"/>
  <c r="C50" i="2"/>
  <c r="B92" i="2" l="1"/>
  <c r="D92" i="2" s="1"/>
  <c r="B89" i="2"/>
  <c r="C88" i="2"/>
  <c r="C87" i="2"/>
  <c r="C91" i="2"/>
  <c r="C89" i="2" l="1"/>
  <c r="D19" i="2" l="1"/>
  <c r="D26" i="2" s="1"/>
  <c r="D15" i="2" l="1"/>
  <c r="B54" i="2" l="1"/>
  <c r="B31" i="2" l="1"/>
  <c r="G1" i="2" l="1"/>
  <c r="D1" i="2" s="1"/>
  <c r="E1" i="2" l="1"/>
  <c r="E2" i="2"/>
  <c r="F2" i="2" l="1"/>
  <c r="F1" i="2"/>
  <c r="G31" i="2" l="1"/>
  <c r="F31" i="2"/>
  <c r="E31" i="2"/>
  <c r="D31" i="2"/>
  <c r="C31" i="2"/>
  <c r="B30" i="2" l="1"/>
  <c r="D22" i="2"/>
  <c r="C47" i="2" l="1"/>
  <c r="D45" i="2"/>
  <c r="D44" i="2"/>
  <c r="B41" i="2" l="1"/>
  <c r="D36" i="2"/>
  <c r="D17" i="2" l="1"/>
  <c r="C18" i="2" l="1"/>
  <c r="B26" i="2" l="1"/>
  <c r="D12" i="2" l="1"/>
  <c r="B7" i="2" l="1"/>
  <c r="D7" i="2" s="1"/>
  <c r="C19" i="2" l="1"/>
  <c r="C11" i="2"/>
  <c r="D2" i="2" l="1"/>
  <c r="C4" i="2"/>
  <c r="C3" i="2"/>
  <c r="B1" i="2"/>
  <c r="D4" i="2" l="1"/>
</calcChain>
</file>

<file path=xl/sharedStrings.xml><?xml version="1.0" encoding="utf-8"?>
<sst xmlns="http://schemas.openxmlformats.org/spreadsheetml/2006/main" count="1976" uniqueCount="1011">
  <si>
    <t>DATE &amp; TIME</t>
  </si>
  <si>
    <t>UF1 SELECTION</t>
  </si>
  <si>
    <t>UF1 DEBIT</t>
  </si>
  <si>
    <t>UF1 CREDIT</t>
  </si>
  <si>
    <t>UF1 ABORT</t>
  </si>
  <si>
    <t>.xlsm</t>
  </si>
  <si>
    <t>UF2 DATE</t>
  </si>
  <si>
    <t>UF2 DETAILS</t>
  </si>
  <si>
    <t>UF2 VALUE</t>
  </si>
  <si>
    <t>UF2 ABORT</t>
  </si>
  <si>
    <t>UF3 DATE</t>
  </si>
  <si>
    <t>UF3 RECEIVED FROM</t>
  </si>
  <si>
    <t>UF3 DETAILS</t>
  </si>
  <si>
    <t>UF3 VALUE</t>
  </si>
  <si>
    <t>UF3 ABORT</t>
  </si>
  <si>
    <t>UF2 ORDER #</t>
  </si>
  <si>
    <t>ADD NEW NAME</t>
  </si>
  <si>
    <t>FORCED UPPER</t>
  </si>
  <si>
    <t>UF3 REF #</t>
  </si>
  <si>
    <t xml:space="preserve">UF2 PAID TO </t>
  </si>
  <si>
    <t>OLD COST EX WIP</t>
  </si>
  <si>
    <t>NEW COST FOR WIP</t>
  </si>
  <si>
    <t>AUTHORIZED BY</t>
  </si>
  <si>
    <t>AUTHORIZED</t>
  </si>
  <si>
    <t>NAME</t>
  </si>
  <si>
    <t>ADDITION TO UF2</t>
  </si>
  <si>
    <t>OTHER NAME</t>
  </si>
  <si>
    <t>OVERHEAD DISTRIBUTION</t>
  </si>
  <si>
    <t>DYNAMIC JOB NUMBER</t>
  </si>
  <si>
    <t>DYNAMIC TO WIP FILES</t>
  </si>
  <si>
    <t>PROPORTIONED VALUE</t>
  </si>
  <si>
    <t>UF4 DEBITED FROM</t>
  </si>
  <si>
    <t>UF4 CREDITED TO</t>
  </si>
  <si>
    <t>UF4 DETAILS</t>
  </si>
  <si>
    <t>UF4 ABORT</t>
  </si>
  <si>
    <t>UF4 DATE</t>
  </si>
  <si>
    <t>DYNAMIC ACC NAME</t>
  </si>
  <si>
    <t>FOR COPY TO SUMMARY</t>
  </si>
  <si>
    <t>TOTAL OF OVERHEADS</t>
  </si>
  <si>
    <t xml:space="preserve"> - Overhead Amounts</t>
  </si>
  <si>
    <t>.xlsx</t>
  </si>
  <si>
    <t>UF5 ABORT</t>
  </si>
  <si>
    <t>UF5 CONFIRM</t>
  </si>
  <si>
    <t>DESCRIPTION</t>
  </si>
  <si>
    <t>BANK CHARGES</t>
  </si>
  <si>
    <t>UF3 PRODUCTION AREA</t>
  </si>
  <si>
    <t>UF2 ACCOUNT CC</t>
  </si>
  <si>
    <t>UF3 ACCOUNT CC</t>
  </si>
  <si>
    <t>UF2 PRODUCTION AREA</t>
  </si>
  <si>
    <t>CONSULTING FEES</t>
  </si>
  <si>
    <t>UF9 DESCRIPTION</t>
  </si>
  <si>
    <t>UF9 ABORT</t>
  </si>
  <si>
    <t>UF9 RAND</t>
  </si>
  <si>
    <t>UF9 USD</t>
  </si>
  <si>
    <t>CURRENCY</t>
  </si>
  <si>
    <t>RAND</t>
  </si>
  <si>
    <t>USD</t>
  </si>
  <si>
    <t>UF4 VALUE DEBITED</t>
  </si>
  <si>
    <t>UF4 VALUE CREDITED</t>
  </si>
  <si>
    <t>UF4 EXCHANGE RATE</t>
  </si>
  <si>
    <t>TRANSACTION</t>
  </si>
  <si>
    <t>CASH WITHDRAWAL</t>
  </si>
  <si>
    <t>COMMISION ON WITHDRAWAL</t>
  </si>
  <si>
    <t>INTEREST APPLICATION</t>
  </si>
  <si>
    <t>INTERMEDITARY TAX</t>
  </si>
  <si>
    <t>SERVICE FEES</t>
  </si>
  <si>
    <t>UF2 VAT #</t>
  </si>
  <si>
    <t>INV DATE</t>
  </si>
  <si>
    <t>COMPANY NAME</t>
  </si>
  <si>
    <t>DETAILS</t>
  </si>
  <si>
    <t>VALUE</t>
  </si>
  <si>
    <t>INV #</t>
  </si>
  <si>
    <t xml:space="preserve"> FOR COST CENTER</t>
  </si>
  <si>
    <t>REFERENCE</t>
  </si>
  <si>
    <t>UF6 SELECTION</t>
  </si>
  <si>
    <t>CASH SALES</t>
  </si>
  <si>
    <t>ELECTRICITY &amp; WATER</t>
  </si>
  <si>
    <t>FUEL</t>
  </si>
  <si>
    <t>PRINTING &amp; STATIONERY</t>
  </si>
  <si>
    <t>SECURITY</t>
  </si>
  <si>
    <t>SUNDRY INCOME</t>
  </si>
  <si>
    <t>COST OF SALES</t>
  </si>
  <si>
    <t>ACCOUNTING FEES</t>
  </si>
  <si>
    <t>BREAKDOWNS</t>
  </si>
  <si>
    <t>CLEANING &amp; TEAS</t>
  </si>
  <si>
    <t>CLEARING FEES</t>
  </si>
  <si>
    <t>DEPRECIATION</t>
  </si>
  <si>
    <t>DIRECTORS EXPENSES</t>
  </si>
  <si>
    <t>DIRECTORS LOANS</t>
  </si>
  <si>
    <t>DONATIONS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</si>
  <si>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</si>
  <si>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</si>
  <si>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</si>
  <si>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</si>
  <si>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</si>
  <si>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</si>
  <si>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</si>
  <si>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</si>
  <si>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</si>
  <si>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</si>
  <si>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</si>
  <si>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</si>
  <si>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</si>
  <si>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</si>
  <si>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</si>
  <si>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</si>
  <si>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</si>
  <si>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</si>
  <si>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TOLLS</t>
  </si>
  <si>
    <t>TRAVEL &amp; ACCOMODATION</t>
  </si>
  <si>
    <t>WORKSHOP MAINTANCE</t>
  </si>
  <si>
    <t>PETTY CASH</t>
  </si>
  <si>
    <t>US$ PETTY CASH</t>
  </si>
  <si>
    <t>MISCELLANEOUS</t>
  </si>
  <si>
    <t>SALES REVENUE</t>
  </si>
  <si>
    <t>ACCOUNT CURRENCY</t>
  </si>
  <si>
    <t>NEW VALUE FOR OPEN LOG</t>
  </si>
  <si>
    <t>OLDVALUE EX OPEN LOG</t>
  </si>
  <si>
    <t>UF2 USD</t>
  </si>
  <si>
    <t>UF2 RAND</t>
  </si>
  <si>
    <t>LINK EX TRIP SHEETS</t>
  </si>
  <si>
    <t>TRIP</t>
  </si>
  <si>
    <t>TRIP SHEET PETTY CASH</t>
  </si>
  <si>
    <t>LLOYD</t>
  </si>
  <si>
    <t>MAXWELL</t>
  </si>
  <si>
    <t>CLEVER</t>
  </si>
  <si>
    <t>TATENDA</t>
  </si>
  <si>
    <t>GEORGE</t>
  </si>
  <si>
    <t>SAMUEL</t>
  </si>
  <si>
    <t>PATRICK</t>
  </si>
  <si>
    <t>GUZHA</t>
  </si>
  <si>
    <t>YORAMU</t>
  </si>
  <si>
    <t>SPACE</t>
  </si>
  <si>
    <t xml:space="preserve"> - </t>
  </si>
  <si>
    <t>DEPOSIT VALUE</t>
  </si>
  <si>
    <t>TOTAL CD3 VALUE</t>
  </si>
  <si>
    <t>R</t>
  </si>
  <si>
    <t xml:space="preserve"> x CD3'S</t>
  </si>
  <si>
    <t xml:space="preserve"> </t>
  </si>
  <si>
    <t>UF3 CD# SELECTED</t>
  </si>
  <si>
    <t>total</t>
  </si>
  <si>
    <t xml:space="preserve">CD3 PAYMENT REF - </t>
  </si>
  <si>
    <t xml:space="preserve">  </t>
  </si>
  <si>
    <t>DYNAMIC CD3 #</t>
  </si>
  <si>
    <t>BANK ISSUED</t>
  </si>
  <si>
    <t>CD3 #</t>
  </si>
  <si>
    <t>1ST TS DATE</t>
  </si>
  <si>
    <t>1ST TS REF #</t>
  </si>
  <si>
    <t>2ND TS REF #</t>
  </si>
  <si>
    <t>TRIP DETAILS</t>
  </si>
  <si>
    <t>TRUCK #</t>
  </si>
  <si>
    <t>DRIVER</t>
  </si>
  <si>
    <t>INV / CD3 VALUE</t>
  </si>
  <si>
    <t>DUE DATE</t>
  </si>
  <si>
    <t>DATE PAID</t>
  </si>
  <si>
    <t>3291B</t>
  </si>
  <si>
    <t>JHB - LSK</t>
  </si>
  <si>
    <t>AA5841</t>
  </si>
  <si>
    <t>HRE - JHB</t>
  </si>
  <si>
    <t>ACE0621</t>
  </si>
  <si>
    <t>AAS5838</t>
  </si>
  <si>
    <t>JHB - HRE</t>
  </si>
  <si>
    <t>3299A</t>
  </si>
  <si>
    <t>AAS5843</t>
  </si>
  <si>
    <t xml:space="preserve">DAZIMATA </t>
  </si>
  <si>
    <t>LSK - JHB</t>
  </si>
  <si>
    <t>AAS5841</t>
  </si>
  <si>
    <t>AAS5840</t>
  </si>
  <si>
    <t>AAS5839</t>
  </si>
  <si>
    <t>LSK - HRE</t>
  </si>
  <si>
    <t>3311A</t>
  </si>
  <si>
    <t>ABJ1897</t>
  </si>
  <si>
    <t>EZI</t>
  </si>
  <si>
    <t>ACZ2071</t>
  </si>
  <si>
    <t>KAUNDA</t>
  </si>
  <si>
    <t>3338B</t>
  </si>
  <si>
    <t>BEIRA - LSK</t>
  </si>
  <si>
    <t>ABB5558</t>
  </si>
  <si>
    <t>3341A</t>
  </si>
  <si>
    <t>3361B</t>
  </si>
  <si>
    <t>3363B</t>
  </si>
  <si>
    <t>3365A</t>
  </si>
  <si>
    <t>3367A</t>
  </si>
  <si>
    <t>3367B</t>
  </si>
  <si>
    <t>3372B</t>
  </si>
  <si>
    <t>FERUKA -DRC</t>
  </si>
  <si>
    <t>3373A</t>
  </si>
  <si>
    <t>3373B</t>
  </si>
  <si>
    <t>3374A</t>
  </si>
  <si>
    <t>HRE - LSK</t>
  </si>
  <si>
    <t>3384B</t>
  </si>
  <si>
    <t>3386B</t>
  </si>
  <si>
    <t>3389A</t>
  </si>
  <si>
    <t>3395B</t>
  </si>
  <si>
    <t>3422A</t>
  </si>
  <si>
    <t>3433B</t>
  </si>
  <si>
    <t>3439B</t>
  </si>
  <si>
    <t>3465B</t>
  </si>
  <si>
    <t>3474B</t>
  </si>
  <si>
    <t>3518B</t>
  </si>
  <si>
    <t>3534C</t>
  </si>
  <si>
    <t>YTC291GP</t>
  </si>
  <si>
    <t>AAS 5838</t>
  </si>
  <si>
    <t>Hre, ZIM - Jhb, RSA</t>
  </si>
  <si>
    <t>Jhb, RSA - Lsk, ZAM</t>
  </si>
  <si>
    <t>ABB 5558</t>
  </si>
  <si>
    <t>BUSFARE</t>
  </si>
  <si>
    <t>LUNCH</t>
  </si>
  <si>
    <t xml:space="preserve">STANBIC </t>
  </si>
  <si>
    <t>TRIP ALLOWANCE</t>
  </si>
  <si>
    <t>Lsk, ZAM - Hre, ZIM</t>
  </si>
  <si>
    <t>Benz - JHB - LSK</t>
  </si>
  <si>
    <t>Beira, MOZ - Lsk, ZAM</t>
  </si>
  <si>
    <t>Jhb, RSA - Hre, ZIM</t>
  </si>
  <si>
    <t>UF 6 PART PAY</t>
  </si>
  <si>
    <t>VAT SCHEDULE</t>
  </si>
  <si>
    <t>VALUE EXC</t>
  </si>
  <si>
    <t>VALUE INC</t>
  </si>
  <si>
    <t>VAT VALUE</t>
  </si>
  <si>
    <t xml:space="preserve"> INV VALUE</t>
  </si>
  <si>
    <t>DUE IN / LATE BY</t>
  </si>
  <si>
    <t>UF7 SELECTION</t>
  </si>
  <si>
    <t>UF 7 PART PAY</t>
  </si>
  <si>
    <t>cur creditor</t>
  </si>
  <si>
    <t>cur debtor</t>
  </si>
  <si>
    <t>3293A</t>
  </si>
  <si>
    <t>3293B</t>
  </si>
  <si>
    <t>3294A</t>
  </si>
  <si>
    <t>3294B</t>
  </si>
  <si>
    <t>3299B</t>
  </si>
  <si>
    <t>3303B</t>
  </si>
  <si>
    <t>3304B</t>
  </si>
  <si>
    <t>3305B</t>
  </si>
  <si>
    <t>3307B</t>
  </si>
  <si>
    <t>3309B</t>
  </si>
  <si>
    <t>3314B</t>
  </si>
  <si>
    <t>3317B</t>
  </si>
  <si>
    <t>3319B</t>
  </si>
  <si>
    <t>3320A</t>
  </si>
  <si>
    <t>3333B</t>
  </si>
  <si>
    <t>3374B</t>
  </si>
  <si>
    <t>3376B</t>
  </si>
  <si>
    <t>3378A</t>
  </si>
  <si>
    <t>3384A</t>
  </si>
  <si>
    <t>3466B</t>
  </si>
  <si>
    <t>AAS 5841</t>
  </si>
  <si>
    <t>ACZ 2071</t>
  </si>
  <si>
    <t>ABJ 1897</t>
  </si>
  <si>
    <t>HENDERSON &amp; RUGG</t>
  </si>
  <si>
    <t>MUNELLA WHOLESALERS</t>
  </si>
  <si>
    <t>WELLINGTON</t>
  </si>
  <si>
    <t>JULIUS</t>
  </si>
  <si>
    <t>COURIER</t>
  </si>
  <si>
    <t>Benz - HRE - JHB</t>
  </si>
  <si>
    <t>Lsk, ZAM - Jhb, RSA</t>
  </si>
  <si>
    <t>Benz - JHB - HRE</t>
  </si>
  <si>
    <t>AAS 5843</t>
  </si>
  <si>
    <t>Benz - HRE - LSK</t>
  </si>
  <si>
    <t>TBA</t>
  </si>
  <si>
    <t>FARAI</t>
  </si>
  <si>
    <t>3666B</t>
  </si>
  <si>
    <t>3677A</t>
  </si>
  <si>
    <t>AAS 5839</t>
  </si>
  <si>
    <t>3713B</t>
  </si>
  <si>
    <t>3715B</t>
  </si>
  <si>
    <t>3716B</t>
  </si>
  <si>
    <t>3719B</t>
  </si>
  <si>
    <t>3720B</t>
  </si>
  <si>
    <t>UF7 WRITE OFF PART</t>
  </si>
  <si>
    <t>UF7 WRITE OFF ALL OR BAL</t>
  </si>
  <si>
    <t>TAFADZWA</t>
  </si>
  <si>
    <t>Aug - Rent</t>
  </si>
  <si>
    <t xml:space="preserve">23-8-16 MUNELLA WHOLESALERS USD1200 </t>
  </si>
  <si>
    <t>DEC</t>
  </si>
  <si>
    <t>3731A</t>
  </si>
  <si>
    <t>3734A</t>
  </si>
  <si>
    <t>3729A</t>
  </si>
  <si>
    <t>3733A</t>
  </si>
  <si>
    <t>3727A</t>
  </si>
  <si>
    <t>3726B</t>
  </si>
  <si>
    <t>3731B</t>
  </si>
  <si>
    <t>3747A</t>
  </si>
  <si>
    <t>3732A</t>
  </si>
  <si>
    <t>3737B</t>
  </si>
  <si>
    <t>Beira Moza - Lumb, Drc</t>
  </si>
  <si>
    <t>3764A</t>
  </si>
  <si>
    <t>ADZ5390</t>
  </si>
  <si>
    <t>3797A</t>
  </si>
  <si>
    <t>3806B</t>
  </si>
  <si>
    <t>3813A</t>
  </si>
  <si>
    <t>3853B</t>
  </si>
  <si>
    <t>3870A</t>
  </si>
  <si>
    <t>HRE - BEIRA</t>
  </si>
  <si>
    <t>3870B</t>
  </si>
  <si>
    <t>Benz Lsk - Hre</t>
  </si>
  <si>
    <t>3872B</t>
  </si>
  <si>
    <t>3885A</t>
  </si>
  <si>
    <t>3878B</t>
  </si>
  <si>
    <t>3909A</t>
  </si>
  <si>
    <t>3886B</t>
  </si>
  <si>
    <t>3922A</t>
  </si>
  <si>
    <t>3922B</t>
  </si>
  <si>
    <t>3923B</t>
  </si>
  <si>
    <t>3934A</t>
  </si>
  <si>
    <t>3934B</t>
  </si>
  <si>
    <t>3948A</t>
  </si>
  <si>
    <t>3937B</t>
  </si>
  <si>
    <t>3938B</t>
  </si>
  <si>
    <t>3939B</t>
  </si>
  <si>
    <t>3946A</t>
  </si>
  <si>
    <t>3944A</t>
  </si>
  <si>
    <t>3944B</t>
  </si>
  <si>
    <t>3949A</t>
  </si>
  <si>
    <t>3949B</t>
  </si>
  <si>
    <t>3951A</t>
  </si>
  <si>
    <t>AEG 1436</t>
  </si>
  <si>
    <t>3958A</t>
  </si>
  <si>
    <t>3958B</t>
  </si>
  <si>
    <t>3971B</t>
  </si>
  <si>
    <t>3975A</t>
  </si>
  <si>
    <t>3975B</t>
  </si>
  <si>
    <t>AEG3558</t>
  </si>
  <si>
    <t>3982A</t>
  </si>
  <si>
    <t>Benz Hre - Malawi</t>
  </si>
  <si>
    <t>3987B</t>
  </si>
  <si>
    <t>3992B</t>
  </si>
  <si>
    <t>3994A</t>
  </si>
  <si>
    <t>3994B</t>
  </si>
  <si>
    <t>ADAM'S WIFE</t>
  </si>
  <si>
    <t>CAROL</t>
  </si>
  <si>
    <t>PETER</t>
  </si>
  <si>
    <t>SHINGI MAWIRE</t>
  </si>
  <si>
    <t>DME</t>
  </si>
  <si>
    <t>NEC</t>
  </si>
  <si>
    <t>JOSEPH</t>
  </si>
  <si>
    <t>HUMPHREY</t>
  </si>
  <si>
    <t>TIME TEAM SECURITY</t>
  </si>
  <si>
    <t>ROXY</t>
  </si>
  <si>
    <t>KADUNI</t>
  </si>
  <si>
    <t>REGIS</t>
  </si>
  <si>
    <t>ACCOUNT NAMES</t>
  </si>
  <si>
    <t>RAND PETTY CASH</t>
  </si>
  <si>
    <t>RE TRADING US$</t>
  </si>
  <si>
    <t>CREDITOR</t>
  </si>
  <si>
    <t>VAT #</t>
  </si>
  <si>
    <t>ABE COMPUTER SERVICES</t>
  </si>
  <si>
    <t>ACE HARDWARE</t>
  </si>
  <si>
    <t>ADLAN AUTO SPARES</t>
  </si>
  <si>
    <t>ADRY</t>
  </si>
  <si>
    <t>AFRIFOR</t>
  </si>
  <si>
    <t>AGRICULTURAL MARKETING AUTHOURITY</t>
  </si>
  <si>
    <t>AGRILINK ACCOUNTING SERVICES</t>
  </si>
  <si>
    <t>AM BUS &amp; TRUCK ACCESSORIES</t>
  </si>
  <si>
    <t>AMY</t>
  </si>
  <si>
    <t>AREON LOGISTICS</t>
  </si>
  <si>
    <t>ASSOCIATED AIR BRAKE SERVICES</t>
  </si>
  <si>
    <t>AUTO ELECTRICIAN</t>
  </si>
  <si>
    <t>B. PINKNEY</t>
  </si>
  <si>
    <t>B.M.GADAGA</t>
  </si>
  <si>
    <t>BARRY BROWNE</t>
  </si>
  <si>
    <t>BORROWDALE VET</t>
  </si>
  <si>
    <t>C &amp; E FARMING</t>
  </si>
  <si>
    <t>CAPSTONE 665 (PTY) LTD</t>
  </si>
  <si>
    <t>CARGO CARRIERS</t>
  </si>
  <si>
    <t>CASH SALE</t>
  </si>
  <si>
    <t>CASUALS</t>
  </si>
  <si>
    <t>CBS</t>
  </si>
  <si>
    <t>CERI COVENTRY</t>
  </si>
  <si>
    <t>CHARELY</t>
  </si>
  <si>
    <t>CHOICE DIESEL</t>
  </si>
  <si>
    <t>CHRIS AITCHISON</t>
  </si>
  <si>
    <t>CIMAS</t>
  </si>
  <si>
    <t>COLLEN OOSTHUIZEN</t>
  </si>
  <si>
    <t>COLOVANE SERVICES</t>
  </si>
  <si>
    <t>COLVANE SERVICES</t>
  </si>
  <si>
    <t>CRAIG AND ROBIN ELLIS</t>
  </si>
  <si>
    <t>CVR</t>
  </si>
  <si>
    <t>DANDEMUTANDE INVESTMENTS</t>
  </si>
  <si>
    <t>DAVE</t>
  </si>
  <si>
    <t>DAZIMATA</t>
  </si>
  <si>
    <t>METALFLEX</t>
  </si>
  <si>
    <t>KUMALI HOLMES</t>
  </si>
  <si>
    <t>PETER CASTLE</t>
  </si>
  <si>
    <t>IGNITION MATE</t>
  </si>
  <si>
    <t>PAUL JOHNSON</t>
  </si>
  <si>
    <t>DIAZ BUTLER</t>
  </si>
  <si>
    <t>M.G. MCLEAN</t>
  </si>
  <si>
    <t>DIESEL PART SALES</t>
  </si>
  <si>
    <t>SIDMEV PVT LTD</t>
  </si>
  <si>
    <t>SMART</t>
  </si>
  <si>
    <t>VIVON INVESTMENTS</t>
  </si>
  <si>
    <t>TECHTOOLS</t>
  </si>
  <si>
    <t>DENIGHT CLEARING</t>
  </si>
  <si>
    <t>FROG CABLES</t>
  </si>
  <si>
    <t>TJ FUELS</t>
  </si>
  <si>
    <t>NATASHI</t>
  </si>
  <si>
    <t>ELECTRO SALES</t>
  </si>
  <si>
    <t>SUSPENSION CENTRE</t>
  </si>
  <si>
    <t>RBZ</t>
  </si>
  <si>
    <t>MICHELLE BOUSSFIELD</t>
  </si>
  <si>
    <t>DESMAN CHINGOMA</t>
  </si>
  <si>
    <t>TT MOTOR CYCLES</t>
  </si>
  <si>
    <t>MASHONALAND EAST ANIMAL MANAGEMENT</t>
  </si>
  <si>
    <t>DHL</t>
  </si>
  <si>
    <t>GILL, GODLONTON AND GERRANS</t>
  </si>
  <si>
    <t>DONEMORE DECANTERS</t>
  </si>
  <si>
    <t>ZUVA</t>
  </si>
  <si>
    <t>DOUBLE T</t>
  </si>
  <si>
    <t>TRACEY</t>
  </si>
  <si>
    <t>EAGLE LOGISTICS</t>
  </si>
  <si>
    <t>KIRK SWANSON</t>
  </si>
  <si>
    <t>EASIPAK</t>
  </si>
  <si>
    <t>ECONET</t>
  </si>
  <si>
    <t>KARL VAN LAEREN</t>
  </si>
  <si>
    <t>THEOLA CASTEL</t>
  </si>
  <si>
    <t>PUMA</t>
  </si>
  <si>
    <t>HEYPACK ENTERPRISES</t>
  </si>
  <si>
    <t>STAR BURTON</t>
  </si>
  <si>
    <t>OKAVANGO SAFARIS</t>
  </si>
  <si>
    <t>ELCOMBE</t>
  </si>
  <si>
    <t>ELIZE CARINUS</t>
  </si>
  <si>
    <t>ZIMBABWE EQUESTRIN FREDERATION</t>
  </si>
  <si>
    <t>MR Q. N. RIDDLE</t>
  </si>
  <si>
    <t>RONALD</t>
  </si>
  <si>
    <t>RACHEL HOWARD</t>
  </si>
  <si>
    <t>RICHARD</t>
  </si>
  <si>
    <t>R. STOKES</t>
  </si>
  <si>
    <t>UNIVERSAL RUBBER &amp; HOSE</t>
  </si>
  <si>
    <t>PETE'S REFRIGRERATION</t>
  </si>
  <si>
    <t>MASHROSE ENTERPRISES</t>
  </si>
  <si>
    <t>EMA</t>
  </si>
  <si>
    <t>METALOCK</t>
  </si>
  <si>
    <t>GAS &amp; SPARES</t>
  </si>
  <si>
    <t>YORAM</t>
  </si>
  <si>
    <t>EVITE</t>
  </si>
  <si>
    <t>PROMTECH FORKLIFT</t>
  </si>
  <si>
    <t>EXECUTIVE COURIER</t>
  </si>
  <si>
    <t>EZITURN</t>
  </si>
  <si>
    <t>F.G ENTERPRISES</t>
  </si>
  <si>
    <t>PROFEEDS PRIVATE LTD</t>
  </si>
  <si>
    <t>FAST WHEELS</t>
  </si>
  <si>
    <t>FAYNAS FASTENERS</t>
  </si>
  <si>
    <t>NASH PAINTS</t>
  </si>
  <si>
    <t>MARIE DEACON</t>
  </si>
  <si>
    <t>MILES</t>
  </si>
  <si>
    <t>GARY'S AUTO</t>
  </si>
  <si>
    <t>FAYNAS FASTNERS</t>
  </si>
  <si>
    <t>WVL ENGINEERING</t>
  </si>
  <si>
    <t>FELIX</t>
  </si>
  <si>
    <t>J CAMPBELL</t>
  </si>
  <si>
    <t>GSS ZIMBABWE SERVICES</t>
  </si>
  <si>
    <t>JOHN VILJOEN</t>
  </si>
  <si>
    <t>FINACC</t>
  </si>
  <si>
    <t>FIONA DRAKE</t>
  </si>
  <si>
    <t>FLOWER DYNAMIC</t>
  </si>
  <si>
    <t>PENNY FISCHER</t>
  </si>
  <si>
    <t>WORKSHOPS</t>
  </si>
  <si>
    <t>UNION HARDWARE</t>
  </si>
  <si>
    <t>JOHNNY Z</t>
  </si>
  <si>
    <t>VET DEPARTMENT</t>
  </si>
  <si>
    <t>TRUST</t>
  </si>
  <si>
    <t>PAUL RUGG</t>
  </si>
  <si>
    <t>THERESA RUTTER</t>
  </si>
  <si>
    <t>THOMAS MASON</t>
  </si>
  <si>
    <t>PEARSON</t>
  </si>
  <si>
    <t>FM REFRIGERATION SERVIVES</t>
  </si>
  <si>
    <t>GARAGE &amp; FORECOURT</t>
  </si>
  <si>
    <t>GOKHAN</t>
  </si>
  <si>
    <t>HENRY</t>
  </si>
  <si>
    <t>GLYN'S BOLTS</t>
  </si>
  <si>
    <t xml:space="preserve">IT PEOPLE </t>
  </si>
  <si>
    <t xml:space="preserve">HALSTEAD </t>
  </si>
  <si>
    <t>LOCHINVER TRUCK &amp; BUSH WASH</t>
  </si>
  <si>
    <t>HILMAX ENGINEERING</t>
  </si>
  <si>
    <t>HOLLICK</t>
  </si>
  <si>
    <t>SKF</t>
  </si>
  <si>
    <t>RELPORT SPARES</t>
  </si>
  <si>
    <t>INDALE</t>
  </si>
  <si>
    <t>J. MANN</t>
  </si>
  <si>
    <t xml:space="preserve">INK LOGISTICS </t>
  </si>
  <si>
    <t>ZCS</t>
  </si>
  <si>
    <t>NYARADZO FUNERAL POLICY</t>
  </si>
  <si>
    <t>T.K MOTOR SPARES</t>
  </si>
  <si>
    <t>PERKIN SEALS</t>
  </si>
  <si>
    <t>JIMMY'S DIESEL</t>
  </si>
  <si>
    <t>JUDY P</t>
  </si>
  <si>
    <t>STANBIC</t>
  </si>
  <si>
    <t>MANICA</t>
  </si>
  <si>
    <t>MINING &amp; INDUSTRIAL SUPPLIES</t>
  </si>
  <si>
    <t>MOST SOUND</t>
  </si>
  <si>
    <t>WINSOR AXLE</t>
  </si>
  <si>
    <t>NAFUND WINDSCREENS</t>
  </si>
  <si>
    <t>LENON</t>
  </si>
  <si>
    <t>STACY</t>
  </si>
  <si>
    <t>TINASHE</t>
  </si>
  <si>
    <t>TRUCK BREAKERS</t>
  </si>
  <si>
    <t>MINISTRY OF MINES</t>
  </si>
  <si>
    <t>PRIME SERVICES</t>
  </si>
  <si>
    <t>RE TRADING</t>
  </si>
  <si>
    <t>MIDAS</t>
  </si>
  <si>
    <t>MIKE APPLE</t>
  </si>
  <si>
    <t>MIKE'S RADIATORS</t>
  </si>
  <si>
    <t>MINISTRY OF TRANSPORT</t>
  </si>
  <si>
    <t>MR BUSH ZIMBABWE</t>
  </si>
  <si>
    <t>ZINARA</t>
  </si>
  <si>
    <t>NEW LIMPOPO BRIDGE</t>
  </si>
  <si>
    <t>PELA-PRINT</t>
  </si>
  <si>
    <t xml:space="preserve">RODRIG </t>
  </si>
  <si>
    <t>PETER SIGNS</t>
  </si>
  <si>
    <t>PROFESSIONAL OIL SEALS</t>
  </si>
  <si>
    <t>QUICKMAN RADIATORS</t>
  </si>
  <si>
    <t>RANK WHOLESALERS</t>
  </si>
  <si>
    <t>SAMU</t>
  </si>
  <si>
    <t>SCOTIA MOTOR ENGINEERING</t>
  </si>
  <si>
    <t>SELECTED SUPPLIES</t>
  </si>
  <si>
    <t>ZIMRA</t>
  </si>
  <si>
    <t>SENDEM TRANSPORT LOGISTICS</t>
  </si>
  <si>
    <t>SMART LOGISTICS</t>
  </si>
  <si>
    <t>SWAB ENTERPRISES</t>
  </si>
  <si>
    <t>TASA MARKETING</t>
  </si>
  <si>
    <t>TRANSPORT OPERATORS' ASSOCIATION</t>
  </si>
  <si>
    <t>TRIP SHEET ALLOCATION</t>
  </si>
  <si>
    <t>TRUCKMAN</t>
  </si>
  <si>
    <t>TRUCKSERVE</t>
  </si>
  <si>
    <t>TURNRIDGE TRADING</t>
  </si>
  <si>
    <t>TYCO INTERNATIONAL</t>
  </si>
  <si>
    <t>ULMERTZ</t>
  </si>
  <si>
    <t>VID</t>
  </si>
  <si>
    <t>WINDSCREEN SERVICES AND REPLACEMENT</t>
  </si>
  <si>
    <t>ZIMAPAN INVESTMENTS</t>
  </si>
  <si>
    <t>ZIMNAT INSURANCE</t>
  </si>
  <si>
    <t>ZOL</t>
  </si>
  <si>
    <t>TS</t>
  </si>
  <si>
    <t>TEST</t>
  </si>
  <si>
    <t>AGRIC DEPARTMENT</t>
  </si>
  <si>
    <t>ALIDY</t>
  </si>
  <si>
    <t>ALL MY DAYS</t>
  </si>
  <si>
    <t>ANDREAS</t>
  </si>
  <si>
    <t>ANDY TAYLOR</t>
  </si>
  <si>
    <t>AUFRA ENTERPRISES</t>
  </si>
  <si>
    <t>BA CLARK PVT LTD</t>
  </si>
  <si>
    <t>BOSCH HIGH PROFILE</t>
  </si>
  <si>
    <t>BRENDON HOFFMAN</t>
  </si>
  <si>
    <t>CERCLE HIPPIQUE</t>
  </si>
  <si>
    <t>DAVE MEIKLE</t>
  </si>
  <si>
    <t>DAVEY EVANS</t>
  </si>
  <si>
    <t>G.N PANEL BEATERS</t>
  </si>
  <si>
    <t>GARAGE AND EQUIPMENT</t>
  </si>
  <si>
    <t>GIFT</t>
  </si>
  <si>
    <t>GOSKEL</t>
  </si>
  <si>
    <t>ICECASH</t>
  </si>
  <si>
    <t>KEITH DUTLOW</t>
  </si>
  <si>
    <t>KEVIN FOURIE</t>
  </si>
  <si>
    <t>LIQUID CONTROL CORPORATION</t>
  </si>
  <si>
    <t>MARK LOMBARD</t>
  </si>
  <si>
    <t>SOUTHERN AFRICAN FUEL</t>
  </si>
  <si>
    <t>PATRICK PHIRI</t>
  </si>
  <si>
    <t>ROSAMUND VINCENT</t>
  </si>
  <si>
    <t>SHAUN STRACHAN</t>
  </si>
  <si>
    <t>SLADEMARK</t>
  </si>
  <si>
    <t>THERMO CONTROL REFRIGERATION</t>
  </si>
  <si>
    <t>STRADIC PVT LTD</t>
  </si>
  <si>
    <t>ZONDAI</t>
  </si>
  <si>
    <t>MAT TRANS</t>
  </si>
  <si>
    <t>STUART HAY</t>
  </si>
  <si>
    <t>HIPEC</t>
  </si>
  <si>
    <t>SOUTHERN DIESEL SERVICES</t>
  </si>
  <si>
    <t>VINTAGE MOTORS</t>
  </si>
  <si>
    <t>JUNE</t>
  </si>
  <si>
    <t>GILMORE SERVICS/ JUST TANKERS</t>
  </si>
  <si>
    <t>PALEMBA</t>
  </si>
  <si>
    <t>PHOENIXTECH</t>
  </si>
  <si>
    <t>LISA HALL</t>
  </si>
  <si>
    <t>PETER LUYT</t>
  </si>
  <si>
    <t>NATIONAL PROP SHAFT CENTRE</t>
  </si>
  <si>
    <t>CLIVE JOHNSTONE</t>
  </si>
  <si>
    <t>FUCHS ZIMBABWE</t>
  </si>
  <si>
    <t>MAHINDRA ZIM</t>
  </si>
  <si>
    <t>SUE ALVES</t>
  </si>
  <si>
    <t>PARTSON</t>
  </si>
  <si>
    <t>TATENDA T</t>
  </si>
  <si>
    <t>F NEIL &amp; SONS</t>
  </si>
  <si>
    <t>EXCELLERATE PVT LTD</t>
  </si>
  <si>
    <t>ZX FUEL</t>
  </si>
  <si>
    <t>SHINGI WELDING</t>
  </si>
  <si>
    <t>VINCE SCHULTZ</t>
  </si>
  <si>
    <t>TORWEST ENTERPRISES</t>
  </si>
  <si>
    <t>NO LEAK MOTORS</t>
  </si>
  <si>
    <t>UTTON</t>
  </si>
  <si>
    <t>OWEN KATIYO</t>
  </si>
  <si>
    <t>E HUDGSTON</t>
  </si>
  <si>
    <t>FRANCOIS</t>
  </si>
  <si>
    <t>SASCHA ROBERTS</t>
  </si>
  <si>
    <t>EXTREME SPRINGS AND SUSPENSION SERVICES</t>
  </si>
  <si>
    <t>RAPHEAL NZOMO</t>
  </si>
  <si>
    <t>NOMATTER</t>
  </si>
  <si>
    <t>NSSA</t>
  </si>
  <si>
    <t>CREADLYNE TRANSPORT</t>
  </si>
  <si>
    <t>MAREE OSBORNE</t>
  </si>
  <si>
    <t>KUMBIRAI ZVINOIRA</t>
  </si>
  <si>
    <t>KANDE HORSE TRAIL</t>
  </si>
  <si>
    <t>SHANE TOMEY</t>
  </si>
  <si>
    <t>GARETH MEIKLE</t>
  </si>
  <si>
    <t>ROSE VAN RUIT</t>
  </si>
  <si>
    <t>GEOSAD ENGINEERING</t>
  </si>
  <si>
    <t>ISHMAEL</t>
  </si>
  <si>
    <t>MINISTRY OF AGRICULTURE</t>
  </si>
  <si>
    <t>ZIMPOST</t>
  </si>
  <si>
    <t>RIMS AFRICA TYRES</t>
  </si>
  <si>
    <t>4732 15-9-19 CE05 GIFT HRE - BEIRA</t>
  </si>
  <si>
    <t>4743 1-10-19 CS02 JULIUS Hre, ZIM - Jhb, RSA</t>
  </si>
  <si>
    <t>4736 20-9-19 RE02 SAMU JHB,RSA - Lum, DRC</t>
  </si>
  <si>
    <t>PRICING ONLINE</t>
  </si>
  <si>
    <t>TAXES</t>
  </si>
  <si>
    <t>AUGUST</t>
  </si>
  <si>
    <t>BA CLARK PVT</t>
  </si>
  <si>
    <t>FEB</t>
  </si>
  <si>
    <t>IMTT</t>
  </si>
  <si>
    <t>JAN</t>
  </si>
  <si>
    <t>JULY</t>
  </si>
  <si>
    <t>MARCH</t>
  </si>
  <si>
    <t>NOV</t>
  </si>
  <si>
    <t>OCT</t>
  </si>
  <si>
    <t>POS CHARGES</t>
  </si>
  <si>
    <t>RTGS CHARGES</t>
  </si>
  <si>
    <t>SEPT</t>
  </si>
  <si>
    <t>TRANSFER CHARGES</t>
  </si>
  <si>
    <t xml:space="preserve">JUNE TO Sept </t>
  </si>
  <si>
    <t xml:space="preserve">9-8-19 HENDERSON &amp; RUGG USD3159.04 </t>
  </si>
  <si>
    <t>Kenya HORSES</t>
  </si>
  <si>
    <t xml:space="preserve">19-6-17 J CAMPBELL USD1500 </t>
  </si>
  <si>
    <t>Horses</t>
  </si>
  <si>
    <t xml:space="preserve">20-11-17 J CAMPBELL USD2010 </t>
  </si>
  <si>
    <t>June</t>
  </si>
  <si>
    <t xml:space="preserve">7-6-17 MUNELLA WHOLESALERS USD1200 </t>
  </si>
  <si>
    <t xml:space="preserve">7-8-19 NSSA USD896.2 </t>
  </si>
  <si>
    <t>CE376</t>
  </si>
  <si>
    <t>Creadlyne Investments</t>
  </si>
  <si>
    <t>07/10/2019 - Inpetro, Beira, Mozambique to La Gonaive, Lumbumbashi, DRC</t>
  </si>
  <si>
    <t>CE376 Creadlyne Investments USD6937.87 DUE 9-11-19</t>
  </si>
  <si>
    <t>CE375</t>
  </si>
  <si>
    <t>27/09/2019 - Diesel - INPETRO, Beira, Mozambique - La Gonaive, Lumbumbashi, DRC</t>
  </si>
  <si>
    <t>CE375 Creadlyne Investments USD6937.87 DUE 1-11-19</t>
  </si>
  <si>
    <t>CE374</t>
  </si>
  <si>
    <t>CE374 Creadlyne Investments USD6768.72 DUE 1-11-19</t>
  </si>
  <si>
    <t>CE373</t>
  </si>
  <si>
    <t>19/09/2019 - Diesel - InPetro, Beira, Mozambique - La Gonaive, Lumbumbashi, DRC</t>
  </si>
  <si>
    <t>CE373 Creadlyne Investments USD6926.157 DUE 1-11-19</t>
  </si>
  <si>
    <t>CE366</t>
  </si>
  <si>
    <t>24/08/2019 - Glencore, Beira Mozambique to La Gonaive, Lumbumbashi, DRC</t>
  </si>
  <si>
    <t>CE366 Creadlyne Investments USD7292.83 DUE 29-9-19</t>
  </si>
  <si>
    <t>CE353</t>
  </si>
  <si>
    <t>16/06/2019 - Petrol - Glencore, Beira, Mozambique - La Gonaive, Lumbumbashi, DRC</t>
  </si>
  <si>
    <t>CE353 Creadlyne Investments USD7281.44 DUE 15-8-19</t>
  </si>
  <si>
    <t>CE346</t>
  </si>
  <si>
    <t xml:space="preserve">Global Oil </t>
  </si>
  <si>
    <t>03/06/2019 - Glencore, Beira, Mozambique to Global Oil, Lumbumbashi, DRC</t>
  </si>
  <si>
    <t>CE346 Global Oil  USD6948.24 DUE 22-7-19 BOS USD3798.24 BOS USD1567.24 BOS USD99.2399999999998</t>
  </si>
  <si>
    <t>CE343</t>
  </si>
  <si>
    <t>Interpetrol Sarl</t>
  </si>
  <si>
    <t>19/05/2019 - Petrol - Beira Mozambique - Lumbumbashi DRC</t>
  </si>
  <si>
    <t>CE343 Interpetrol Sarl USD7325.47 DUE 21-7-19 BOS USD3325.47 AFTER WRITE OFF - BOS USD760.47 BOS USD733.47</t>
  </si>
  <si>
    <t>CE336</t>
  </si>
  <si>
    <t>Euralia Bon Berger</t>
  </si>
  <si>
    <t>06/05/2019 - Glencore, Beira Mozambique - Lumbumbashi, DRC</t>
  </si>
  <si>
    <t>CE336 Euralia Bon Berger USD7345.87 DUE 13-6-19 BOS USD2209.87 AFTER WRITE OFF - BOS USD92.8699999999999</t>
  </si>
  <si>
    <t>CE333</t>
  </si>
  <si>
    <t>03/04/2019 - Petrol - Beira, Mozambique - Lumbumbashi DRC</t>
  </si>
  <si>
    <t>CE333 Euralia Bon Berger USD7395 DUE 29-5-19 BOS USD2302 AFTER WRITE OFF - BOS USD261</t>
  </si>
  <si>
    <t>BOND $</t>
  </si>
  <si>
    <t>C&amp;E STANBIC NOSTRO DOMESTIC 9140001002049</t>
  </si>
  <si>
    <t>C&amp;E STANBIC NOSTRO EXPORT 9140002013842</t>
  </si>
  <si>
    <t>C&amp;E STANBIC RTGS ZWL 91400006875145</t>
  </si>
  <si>
    <t>C&amp;E STANBIC SWIPE ZWL 9140001631151</t>
  </si>
  <si>
    <t>KWACHA</t>
  </si>
  <si>
    <t>4005A</t>
  </si>
  <si>
    <t>3999A</t>
  </si>
  <si>
    <t>4004B</t>
  </si>
  <si>
    <t>4006B</t>
  </si>
  <si>
    <t>4011B</t>
  </si>
  <si>
    <t>4015A</t>
  </si>
  <si>
    <t>4017A</t>
  </si>
  <si>
    <t>4023A</t>
  </si>
  <si>
    <t>4023B</t>
  </si>
  <si>
    <t>4024B</t>
  </si>
  <si>
    <t>4030B</t>
  </si>
  <si>
    <t>4034A</t>
  </si>
  <si>
    <t>4035A</t>
  </si>
  <si>
    <t>4035B</t>
  </si>
  <si>
    <t>4037B</t>
  </si>
  <si>
    <t>4045A</t>
  </si>
  <si>
    <t>4040B</t>
  </si>
  <si>
    <t>4042A</t>
  </si>
  <si>
    <t>4044B</t>
  </si>
  <si>
    <t>4051A</t>
  </si>
  <si>
    <t>4054B</t>
  </si>
  <si>
    <t>4066A</t>
  </si>
  <si>
    <t>4057A</t>
  </si>
  <si>
    <t>4061A</t>
  </si>
  <si>
    <t>Benz - Hre - DRC</t>
  </si>
  <si>
    <t>4070A</t>
  </si>
  <si>
    <t>4070B</t>
  </si>
  <si>
    <t>4084A</t>
  </si>
  <si>
    <t>4084B</t>
  </si>
  <si>
    <t>4085A</t>
  </si>
  <si>
    <t>4088B</t>
  </si>
  <si>
    <t>4091B</t>
  </si>
  <si>
    <t>4095A</t>
  </si>
  <si>
    <t>4097B</t>
  </si>
  <si>
    <t>4106A</t>
  </si>
  <si>
    <t>4099B</t>
  </si>
  <si>
    <t>4110A</t>
  </si>
  <si>
    <t>MTRE,ZIM - LUMB, DRC</t>
  </si>
  <si>
    <t>4100B</t>
  </si>
  <si>
    <t>4104B</t>
  </si>
  <si>
    <t>4105A</t>
  </si>
  <si>
    <t>4108B</t>
  </si>
  <si>
    <t>4111B</t>
  </si>
  <si>
    <t>4115A</t>
  </si>
  <si>
    <t>4112A</t>
  </si>
  <si>
    <t>4112B</t>
  </si>
  <si>
    <t>4114B</t>
  </si>
  <si>
    <t>4122A</t>
  </si>
  <si>
    <t>4119B</t>
  </si>
  <si>
    <t>4120B</t>
  </si>
  <si>
    <t>4127A</t>
  </si>
  <si>
    <t>4121A</t>
  </si>
  <si>
    <t>4121B</t>
  </si>
  <si>
    <t>4124B</t>
  </si>
  <si>
    <t>4126B</t>
  </si>
  <si>
    <t>4130B</t>
  </si>
  <si>
    <t>4135A</t>
  </si>
  <si>
    <t>4132B</t>
  </si>
  <si>
    <t>4173A</t>
  </si>
  <si>
    <t>4137A</t>
  </si>
  <si>
    <t>4137B</t>
  </si>
  <si>
    <t>4139A</t>
  </si>
  <si>
    <t>4139B</t>
  </si>
  <si>
    <t>4141B</t>
  </si>
  <si>
    <t>4143A</t>
  </si>
  <si>
    <t>4143B</t>
  </si>
  <si>
    <t>4148B</t>
  </si>
  <si>
    <t>4150A</t>
  </si>
  <si>
    <t>4150B</t>
  </si>
  <si>
    <t>4152B</t>
  </si>
  <si>
    <t>4155A</t>
  </si>
  <si>
    <t>4156A</t>
  </si>
  <si>
    <t>4156B</t>
  </si>
  <si>
    <t>4167A</t>
  </si>
  <si>
    <t>4158B</t>
  </si>
  <si>
    <t>4161A</t>
  </si>
  <si>
    <t>4163A</t>
  </si>
  <si>
    <t>4163B</t>
  </si>
  <si>
    <t>4166B</t>
  </si>
  <si>
    <t>4175A</t>
  </si>
  <si>
    <t>4167B</t>
  </si>
  <si>
    <t>4182A</t>
  </si>
  <si>
    <t>4169B</t>
  </si>
  <si>
    <t>4172B</t>
  </si>
  <si>
    <t>4174B</t>
  </si>
  <si>
    <t>4180A</t>
  </si>
  <si>
    <t>4176B</t>
  </si>
  <si>
    <t>4183A</t>
  </si>
  <si>
    <t>4181B</t>
  </si>
  <si>
    <t>4195A</t>
  </si>
  <si>
    <t>4182B</t>
  </si>
  <si>
    <t>4188B</t>
  </si>
  <si>
    <t>4189B</t>
  </si>
  <si>
    <t>4192A</t>
  </si>
  <si>
    <t>4193B</t>
  </si>
  <si>
    <t>4194B</t>
  </si>
  <si>
    <t>4205A</t>
  </si>
  <si>
    <t>4195B</t>
  </si>
  <si>
    <t>4197A</t>
  </si>
  <si>
    <t>4197B</t>
  </si>
  <si>
    <t>4209A</t>
  </si>
  <si>
    <t>4202A</t>
  </si>
  <si>
    <t>4202B</t>
  </si>
  <si>
    <t>4206A</t>
  </si>
  <si>
    <t>4207B</t>
  </si>
  <si>
    <t>4208B</t>
  </si>
  <si>
    <t>4211A</t>
  </si>
  <si>
    <t>4209B</t>
  </si>
  <si>
    <t>4218A</t>
  </si>
  <si>
    <t>4218B</t>
  </si>
  <si>
    <t>4226A</t>
  </si>
  <si>
    <t>4221A</t>
  </si>
  <si>
    <t>4221B</t>
  </si>
  <si>
    <t>4222A</t>
  </si>
  <si>
    <t>4222B</t>
  </si>
  <si>
    <t>4223B</t>
  </si>
  <si>
    <t>4226B</t>
  </si>
  <si>
    <t>4233A</t>
  </si>
  <si>
    <t>4229B</t>
  </si>
  <si>
    <t>4237A</t>
  </si>
  <si>
    <t>4230B</t>
  </si>
  <si>
    <t>4238A</t>
  </si>
  <si>
    <t>4233B</t>
  </si>
  <si>
    <t>4240A</t>
  </si>
  <si>
    <t>4235A</t>
  </si>
  <si>
    <t>4235B</t>
  </si>
  <si>
    <t>4245A</t>
  </si>
  <si>
    <t>4240B</t>
  </si>
  <si>
    <t>4246A</t>
  </si>
  <si>
    <t>4246B</t>
  </si>
  <si>
    <t>4247A</t>
  </si>
  <si>
    <t>4247B</t>
  </si>
  <si>
    <t>4250A</t>
  </si>
  <si>
    <t>4251B</t>
  </si>
  <si>
    <t>4253B</t>
  </si>
  <si>
    <t>Beira - Byo</t>
  </si>
  <si>
    <t>4257B</t>
  </si>
  <si>
    <t>4267A</t>
  </si>
  <si>
    <t>4260B</t>
  </si>
  <si>
    <t>4262B</t>
  </si>
  <si>
    <t>4265B</t>
  </si>
  <si>
    <t>4271A</t>
  </si>
  <si>
    <t>4266B</t>
  </si>
  <si>
    <t>4272A</t>
  </si>
  <si>
    <t>4267B</t>
  </si>
  <si>
    <t>4276A</t>
  </si>
  <si>
    <t>4276B</t>
  </si>
  <si>
    <t>4287A</t>
  </si>
  <si>
    <t>4287B</t>
  </si>
  <si>
    <t>4292A</t>
  </si>
  <si>
    <t>4292B</t>
  </si>
  <si>
    <t>4297B</t>
  </si>
  <si>
    <t>4298A</t>
  </si>
  <si>
    <t>4298B</t>
  </si>
  <si>
    <t>4300B</t>
  </si>
  <si>
    <t>4302A</t>
  </si>
  <si>
    <t>4302B</t>
  </si>
  <si>
    <t>4306B</t>
  </si>
  <si>
    <t>4307A</t>
  </si>
  <si>
    <t>4307B</t>
  </si>
  <si>
    <t>4310A</t>
  </si>
  <si>
    <t>4310B</t>
  </si>
  <si>
    <t>4315B</t>
  </si>
  <si>
    <t>4319A</t>
  </si>
  <si>
    <t>4316B</t>
  </si>
  <si>
    <t>4322B</t>
  </si>
  <si>
    <t>4327A</t>
  </si>
  <si>
    <t>4323A</t>
  </si>
  <si>
    <t>4323B</t>
  </si>
  <si>
    <t>4330B</t>
  </si>
  <si>
    <t>4334A</t>
  </si>
  <si>
    <t>4331B</t>
  </si>
  <si>
    <t>4335A</t>
  </si>
  <si>
    <t>4333A</t>
  </si>
  <si>
    <t>4333B</t>
  </si>
  <si>
    <t>4342B</t>
  </si>
  <si>
    <t>4347A</t>
  </si>
  <si>
    <t>AEU 0156</t>
  </si>
  <si>
    <t>4343A</t>
  </si>
  <si>
    <t>4343B</t>
  </si>
  <si>
    <t>4344B</t>
  </si>
  <si>
    <t>4345A</t>
  </si>
  <si>
    <t>4354B</t>
  </si>
  <si>
    <t>4357A</t>
  </si>
  <si>
    <t>4358B</t>
  </si>
  <si>
    <t>4365A</t>
  </si>
  <si>
    <t>4359B</t>
  </si>
  <si>
    <t>4367A</t>
  </si>
  <si>
    <t>4363A</t>
  </si>
  <si>
    <t>4369B</t>
  </si>
  <si>
    <t>4383A</t>
  </si>
  <si>
    <t>4383B</t>
  </si>
  <si>
    <t>4385B</t>
  </si>
  <si>
    <t>4394A</t>
  </si>
  <si>
    <t>4391B</t>
  </si>
  <si>
    <t>4397A</t>
  </si>
  <si>
    <t>4398B</t>
  </si>
  <si>
    <t>4406B</t>
  </si>
  <si>
    <t>4412A</t>
  </si>
  <si>
    <t>4407B</t>
  </si>
  <si>
    <t>4431A</t>
  </si>
  <si>
    <t>HRE - DRC</t>
  </si>
  <si>
    <t>4413B</t>
  </si>
  <si>
    <t>4424B</t>
  </si>
  <si>
    <t>4448A</t>
  </si>
  <si>
    <t>4440B</t>
  </si>
  <si>
    <t>4445A</t>
  </si>
  <si>
    <t>4453B</t>
  </si>
  <si>
    <t>4465A</t>
  </si>
  <si>
    <t>4469B</t>
  </si>
  <si>
    <t>4477A</t>
  </si>
  <si>
    <t>4477B</t>
  </si>
  <si>
    <t>4483A</t>
  </si>
  <si>
    <t>4483B</t>
  </si>
  <si>
    <t>4489A</t>
  </si>
  <si>
    <t>ADZ0683</t>
  </si>
  <si>
    <t>4489B</t>
  </si>
  <si>
    <t>4490B</t>
  </si>
  <si>
    <t>4494A</t>
  </si>
  <si>
    <t>4515B</t>
  </si>
  <si>
    <t>4516A</t>
  </si>
  <si>
    <t>4519A</t>
  </si>
  <si>
    <t>4519B</t>
  </si>
  <si>
    <t>4520A</t>
  </si>
  <si>
    <t>4524B</t>
  </si>
  <si>
    <t>4532B</t>
  </si>
  <si>
    <t>4536A</t>
  </si>
  <si>
    <t>4533B</t>
  </si>
  <si>
    <t>4537A</t>
  </si>
  <si>
    <t>4539A</t>
  </si>
  <si>
    <t>4539B</t>
  </si>
  <si>
    <t>4545A</t>
  </si>
  <si>
    <t>4545B</t>
  </si>
  <si>
    <t>4551B</t>
  </si>
  <si>
    <t>4554A</t>
  </si>
  <si>
    <t>4552B</t>
  </si>
  <si>
    <t>4555A</t>
  </si>
  <si>
    <t>ADC0683</t>
  </si>
  <si>
    <t>4564B</t>
  </si>
  <si>
    <t>4569A</t>
  </si>
  <si>
    <t>4573B</t>
  </si>
  <si>
    <t>4577A</t>
  </si>
  <si>
    <t>4580B</t>
  </si>
  <si>
    <t>4589A</t>
  </si>
  <si>
    <t>4581B</t>
  </si>
  <si>
    <t>4586B</t>
  </si>
  <si>
    <t>4594A</t>
  </si>
  <si>
    <t>4592B</t>
  </si>
  <si>
    <t>4601A</t>
  </si>
  <si>
    <t>4595A</t>
  </si>
  <si>
    <t>4595B</t>
  </si>
  <si>
    <t>4598A</t>
  </si>
  <si>
    <t>4600B</t>
  </si>
  <si>
    <t>4610A</t>
  </si>
  <si>
    <t>4599B</t>
  </si>
  <si>
    <t>4606A</t>
  </si>
  <si>
    <t>4611B</t>
  </si>
  <si>
    <t>4631A</t>
  </si>
  <si>
    <t>4615B</t>
  </si>
  <si>
    <t>4626A</t>
  </si>
  <si>
    <t>4620B</t>
  </si>
  <si>
    <t>4625A</t>
  </si>
  <si>
    <t>4624B</t>
  </si>
  <si>
    <t>4628A</t>
  </si>
  <si>
    <t>4633A</t>
  </si>
  <si>
    <t>4638B</t>
  </si>
  <si>
    <t>4643A</t>
  </si>
  <si>
    <t>4639B</t>
  </si>
  <si>
    <t>4644A</t>
  </si>
  <si>
    <t>4640A</t>
  </si>
  <si>
    <t>4640B</t>
  </si>
  <si>
    <t>4645B</t>
  </si>
  <si>
    <t>4648A</t>
  </si>
  <si>
    <t>4651B</t>
  </si>
  <si>
    <t>4661A</t>
  </si>
  <si>
    <t>4652B</t>
  </si>
  <si>
    <t>4656B</t>
  </si>
  <si>
    <t>4660A</t>
  </si>
  <si>
    <t>4673B</t>
  </si>
  <si>
    <t>4674A</t>
  </si>
  <si>
    <t>4675B</t>
  </si>
  <si>
    <t>4679A</t>
  </si>
  <si>
    <t>4682B</t>
  </si>
  <si>
    <t>4693A</t>
  </si>
  <si>
    <t>4687A</t>
  </si>
  <si>
    <t>4696B</t>
  </si>
  <si>
    <t>4705A</t>
  </si>
  <si>
    <t>4703B</t>
  </si>
  <si>
    <t>4706A</t>
  </si>
  <si>
    <t>4709A</t>
  </si>
  <si>
    <t>4711B</t>
  </si>
  <si>
    <t>4713A</t>
  </si>
  <si>
    <t>4714B</t>
  </si>
  <si>
    <t>4720A</t>
  </si>
  <si>
    <t>4722B</t>
  </si>
  <si>
    <t>4728A</t>
  </si>
  <si>
    <t>4726B</t>
  </si>
  <si>
    <t>4734A</t>
  </si>
  <si>
    <t>4727B</t>
  </si>
  <si>
    <t>4735A</t>
  </si>
  <si>
    <t>4731A</t>
  </si>
  <si>
    <t>Hre - Lsk</t>
  </si>
  <si>
    <t>4731B</t>
  </si>
  <si>
    <t>4732A</t>
  </si>
  <si>
    <t>4732B</t>
  </si>
  <si>
    <t>4745A</t>
  </si>
  <si>
    <t>4746B</t>
  </si>
  <si>
    <t>4747A</t>
  </si>
  <si>
    <t>4753B</t>
  </si>
  <si>
    <t>4754A</t>
  </si>
  <si>
    <t>4755B</t>
  </si>
  <si>
    <t>GENGIZ GOSKEL</t>
  </si>
  <si>
    <t>TARRYN</t>
  </si>
  <si>
    <t>SWEDCO BOLTS &amp; FASTENERS</t>
  </si>
  <si>
    <t>4759 16-10-19 CE01 TATENDA Beira Moza - Lumb, Drc</t>
  </si>
  <si>
    <t>4758 16-10-19 CS03 SAMUEL Hre, ZIM - Jhb, RSA</t>
  </si>
  <si>
    <t>4764 22-10-19 CS05 GEORGE Hre, ZIM - Jhb, RSA</t>
  </si>
  <si>
    <t>4763 22-10-19 CS06 NOMATTER Hre, ZIM - Jhb, RSA</t>
  </si>
  <si>
    <t>4769 26-10-19 CS07 MAXWELL Beira Moza - Lumb, Drc</t>
  </si>
  <si>
    <t>4760 18-10-19 CS08 YORAMU Hre, ZIM - Jhb, RSA</t>
  </si>
  <si>
    <t>4765 23-10-19 CE06 WELLINGTON Beira Moza - Lumb, Drc</t>
  </si>
  <si>
    <t>4766 23-10-19 CS09 REGIS Hre, ZIM - Jhb, RSA</t>
  </si>
  <si>
    <t>4767 24-10-19 CS10 PETER Hre, ZIM - Jhb, RSA</t>
  </si>
  <si>
    <t>4768 26-10-19 RE01 ISHMAEL Hre, ZIM - Jhb, RSA</t>
  </si>
  <si>
    <t>CE378</t>
  </si>
  <si>
    <t>11/10/2019 - NOIC,Msasa, Harare, Zim - La Gonaive, Lumbumbashi, DRC</t>
  </si>
  <si>
    <t>CE378 Creadlyne Investments USD4939.825 DUE 20-11-19</t>
  </si>
  <si>
    <t>CE377</t>
  </si>
  <si>
    <t>09/10/2019 - Noic Msasa, Harare, Zimbabwe - La Gonaive, Lumbumbashi, DRC</t>
  </si>
  <si>
    <t>CE377 Creadlyne Investments USD5169.365 DUE 15-11-19</t>
  </si>
  <si>
    <t>4759A</t>
  </si>
  <si>
    <t>4756B</t>
  </si>
  <si>
    <t>4757B</t>
  </si>
  <si>
    <t>4765A</t>
  </si>
  <si>
    <t>4761B</t>
  </si>
  <si>
    <t>4769A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</si>
</sst>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Z$&quot;#,##0.00_);[Red]\(&quot;Z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d/m/yyyy\ h:mm"/>
    <numFmt numFmtId="168" formatCode="0.0000"/>
    <numFmt numFmtId="169" formatCode="[$-409]d\-mmm\-yy;@"/>
    <numFmt numFmtId="170" formatCode="mmm"/>
    <numFmt numFmtId="171" formatCode="[$-3009]dd\-mmm\-yy;@"/>
    <numFmt numFmtId="172" formatCode="[$R-1C09]\ #,##0.00;[Red][$R-1C09]\ \-#,##0.00"/>
    <numFmt numFmtId="173" formatCode="[$R-1C09]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0" fontId="3" fillId="0" borderId="0"/>
    <xf numFmtId="166" fontId="2" fillId="0" borderId="0" applyFont="0" applyFill="0" applyBorder="0" applyAlignment="0" applyProtection="0"/>
  </cellStyleXfs>
  <cellXfs count="34">
    <xf numFmtId="0" fontId="0" fillId="0" borderId="0" xfId="0"/>
    <xf numFmtId="167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/>
    <xf numFmtId="165" fontId="0" fillId="0" borderId="0" xfId="0" applyNumberFormat="1"/>
    <xf numFmtId="17" fontId="0" fillId="0" borderId="0" xfId="0" applyNumberFormat="1"/>
    <xf numFmtId="170" fontId="0" fillId="0" borderId="0" xfId="0" applyNumberFormat="1"/>
    <xf numFmtId="165" fontId="0" fillId="0" borderId="0" xfId="1" applyNumberFormat="1" applyFont="1"/>
    <xf numFmtId="165" fontId="1" fillId="0" borderId="0" xfId="1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2" borderId="0" xfId="0" applyFill="1"/>
    <xf numFmtId="4" fontId="0" fillId="0" borderId="0" xfId="0" applyNumberFormat="1"/>
    <xf numFmtId="168" fontId="0" fillId="0" borderId="0" xfId="0" applyNumberFormat="1"/>
    <xf numFmtId="164" fontId="0" fillId="0" borderId="0" xfId="0" applyNumberFormat="1"/>
    <xf numFmtId="171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left"/>
    </xf>
    <xf numFmtId="17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1" fontId="4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172" fontId="1" fillId="0" borderId="0" xfId="0" applyNumberFormat="1" applyFont="1"/>
    <xf numFmtId="0" fontId="1" fillId="0" borderId="0" xfId="0" applyFont="1"/>
    <xf numFmtId="38" fontId="1" fillId="0" borderId="0" xfId="0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0" fontId="0" fillId="0" borderId="0" xfId="0" applyAlignment="1">
      <alignment horizontal="left"/>
    </xf>
  </cellXfs>
  <cellStyles count="4">
    <cellStyle name="Currency" xfId="1" builtinId="4"/>
    <cellStyle name="Currency 2" xfId="3" xr:uid="{00000000-0005-0000-0000-000001000000}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F13" sqref="F1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pageSetUpPr fitToPage="1"/>
  </sheetPr>
  <dimension ref="A1:N305"/>
  <sheetViews>
    <sheetView workbookViewId="0">
      <pane ySplit="1" topLeftCell="A2" activePane="bottomLeft" state="frozen"/>
      <selection activeCell="F34" sqref="F34"/>
      <selection pane="bottomLeft" sqref="A1:M1048576"/>
    </sheetView>
  </sheetViews>
  <sheetFormatPr defaultColWidth="9.140625" defaultRowHeight="15" x14ac:dyDescent="0.25"/>
  <cols>
    <col min="1" max="1" width="15" style="20" customWidth="1"/>
    <col min="2" max="2" width="13.28515625" style="3" customWidth="1"/>
    <col min="3" max="3" width="15" style="20" customWidth="1"/>
    <col min="4" max="4" width="12.85546875" style="21" customWidth="1"/>
    <col min="5" max="5" width="12.42578125" style="21" customWidth="1"/>
    <col min="6" max="6" width="20" style="21" customWidth="1"/>
    <col min="7" max="7" width="13.85546875" style="3" customWidth="1"/>
    <col min="8" max="8" width="14.7109375" style="22" customWidth="1"/>
    <col min="9" max="9" width="10.140625" style="3" customWidth="1"/>
    <col min="10" max="10" width="10.140625" style="20" bestFit="1" customWidth="1"/>
    <col min="11" max="11" width="17.7109375" style="24" customWidth="1"/>
  </cols>
  <sheetData>
    <row r="1" spans="1:14" s="30" customFormat="1" ht="24" customHeight="1" x14ac:dyDescent="0.25">
      <c r="A1" s="27" t="s">
        <v>144</v>
      </c>
      <c r="B1" s="2" t="s">
        <v>145</v>
      </c>
      <c r="C1" s="17" t="s">
        <v>146</v>
      </c>
      <c r="D1" s="11" t="s">
        <v>147</v>
      </c>
      <c r="E1" s="11" t="s">
        <v>148</v>
      </c>
      <c r="F1" s="11" t="s">
        <v>149</v>
      </c>
      <c r="G1" s="2" t="s">
        <v>150</v>
      </c>
      <c r="H1" s="28" t="s">
        <v>151</v>
      </c>
      <c r="I1" s="2" t="s">
        <v>71</v>
      </c>
      <c r="J1" s="17" t="s">
        <v>67</v>
      </c>
      <c r="K1" s="29" t="s">
        <v>152</v>
      </c>
      <c r="L1" s="30" t="s">
        <v>153</v>
      </c>
      <c r="M1" s="30" t="s">
        <v>154</v>
      </c>
    </row>
    <row r="2" spans="1:14" x14ac:dyDescent="0.25">
      <c r="A2" s="20">
        <v>42081</v>
      </c>
      <c r="B2" s="3">
        <v>1049935</v>
      </c>
      <c r="C2" s="20">
        <v>42153</v>
      </c>
      <c r="D2" s="21" t="s">
        <v>155</v>
      </c>
      <c r="F2" s="21" t="s">
        <v>156</v>
      </c>
      <c r="G2" s="3" t="s">
        <v>157</v>
      </c>
      <c r="H2" s="22" t="s">
        <v>123</v>
      </c>
      <c r="I2" s="3">
        <v>473</v>
      </c>
      <c r="J2" s="20">
        <v>42168</v>
      </c>
      <c r="K2" s="24">
        <v>15000</v>
      </c>
      <c r="L2">
        <v>42188</v>
      </c>
      <c r="M2" s="24">
        <v>42188</v>
      </c>
      <c r="N2">
        <v>1</v>
      </c>
    </row>
    <row r="3" spans="1:14" x14ac:dyDescent="0.25">
      <c r="A3" s="20">
        <v>42081</v>
      </c>
      <c r="B3" s="3">
        <v>1049937</v>
      </c>
      <c r="C3" s="20">
        <v>42154</v>
      </c>
      <c r="D3" s="21" t="s">
        <v>225</v>
      </c>
      <c r="F3" s="21" t="s">
        <v>158</v>
      </c>
      <c r="G3" s="3" t="s">
        <v>159</v>
      </c>
      <c r="H3" s="22" t="s">
        <v>126</v>
      </c>
      <c r="I3" s="3">
        <v>489</v>
      </c>
      <c r="J3" s="20">
        <v>42169</v>
      </c>
      <c r="K3" s="24">
        <v>5000</v>
      </c>
      <c r="L3">
        <v>42188</v>
      </c>
      <c r="M3">
        <v>42188</v>
      </c>
    </row>
    <row r="4" spans="1:14" x14ac:dyDescent="0.25">
      <c r="A4" s="20">
        <v>42081</v>
      </c>
      <c r="B4" s="3">
        <v>1049938</v>
      </c>
      <c r="C4" s="20">
        <v>42154</v>
      </c>
      <c r="D4" s="21" t="s">
        <v>226</v>
      </c>
      <c r="F4" s="21" t="s">
        <v>156</v>
      </c>
      <c r="G4" s="3" t="s">
        <v>159</v>
      </c>
      <c r="H4" s="22" t="s">
        <v>126</v>
      </c>
      <c r="I4" s="3">
        <v>475</v>
      </c>
      <c r="J4" s="20">
        <v>42169</v>
      </c>
      <c r="K4" s="24">
        <v>15000</v>
      </c>
      <c r="L4">
        <v>42188</v>
      </c>
      <c r="M4">
        <v>42188</v>
      </c>
    </row>
    <row r="5" spans="1:14" x14ac:dyDescent="0.25">
      <c r="A5" s="20">
        <v>42081</v>
      </c>
      <c r="B5" s="3">
        <v>1049939</v>
      </c>
      <c r="C5" s="20">
        <v>42154</v>
      </c>
      <c r="D5" s="21" t="s">
        <v>227</v>
      </c>
      <c r="F5" s="21" t="s">
        <v>158</v>
      </c>
      <c r="G5" s="3" t="s">
        <v>160</v>
      </c>
      <c r="H5" s="22" t="s">
        <v>127</v>
      </c>
      <c r="I5" s="3">
        <v>490</v>
      </c>
      <c r="J5" s="20">
        <v>42169</v>
      </c>
      <c r="K5" s="24">
        <v>5000</v>
      </c>
      <c r="L5">
        <v>42188</v>
      </c>
      <c r="M5">
        <v>42188</v>
      </c>
    </row>
    <row r="6" spans="1:14" x14ac:dyDescent="0.25">
      <c r="A6" s="20">
        <v>42081</v>
      </c>
      <c r="B6" s="3">
        <v>1049940</v>
      </c>
      <c r="C6" s="20">
        <v>42154</v>
      </c>
      <c r="D6" s="21" t="s">
        <v>228</v>
      </c>
      <c r="F6" s="21" t="s">
        <v>161</v>
      </c>
      <c r="G6" s="3" t="s">
        <v>160</v>
      </c>
      <c r="H6" s="22" t="s">
        <v>127</v>
      </c>
      <c r="I6" s="3">
        <v>476</v>
      </c>
      <c r="J6" s="20">
        <v>42169</v>
      </c>
      <c r="K6" s="24">
        <v>12000</v>
      </c>
      <c r="L6">
        <v>42188</v>
      </c>
      <c r="M6">
        <v>42188</v>
      </c>
    </row>
    <row r="7" spans="1:14" x14ac:dyDescent="0.25">
      <c r="A7" s="20">
        <v>42081</v>
      </c>
      <c r="B7" s="3">
        <v>1049941</v>
      </c>
      <c r="C7" s="20">
        <v>42158</v>
      </c>
      <c r="D7" s="21" t="s">
        <v>162</v>
      </c>
      <c r="F7" s="21" t="s">
        <v>158</v>
      </c>
      <c r="G7" s="3" t="s">
        <v>163</v>
      </c>
      <c r="H7" s="22" t="s">
        <v>164</v>
      </c>
      <c r="I7" s="3">
        <v>477</v>
      </c>
      <c r="J7" s="20">
        <v>42173</v>
      </c>
      <c r="K7" s="24">
        <v>5000</v>
      </c>
      <c r="L7">
        <v>42188</v>
      </c>
      <c r="M7">
        <v>42188</v>
      </c>
    </row>
    <row r="8" spans="1:14" x14ac:dyDescent="0.25">
      <c r="A8" s="20">
        <v>42081</v>
      </c>
      <c r="B8" s="3">
        <v>1049942</v>
      </c>
      <c r="C8" s="20">
        <v>42158</v>
      </c>
      <c r="D8" s="21" t="s">
        <v>229</v>
      </c>
      <c r="F8" s="21" t="s">
        <v>161</v>
      </c>
      <c r="G8" s="3" t="s">
        <v>163</v>
      </c>
      <c r="H8" s="22" t="s">
        <v>164</v>
      </c>
      <c r="I8" s="3">
        <v>478</v>
      </c>
      <c r="J8" s="20">
        <v>42173</v>
      </c>
      <c r="K8" s="24">
        <v>12000</v>
      </c>
      <c r="L8">
        <v>42188</v>
      </c>
      <c r="M8">
        <v>42188</v>
      </c>
    </row>
    <row r="9" spans="1:14" x14ac:dyDescent="0.25">
      <c r="A9" s="20">
        <v>42081</v>
      </c>
      <c r="B9" s="3">
        <v>1049943</v>
      </c>
      <c r="C9" s="20">
        <v>42163</v>
      </c>
      <c r="D9" s="21" t="s">
        <v>230</v>
      </c>
      <c r="F9" s="21" t="s">
        <v>165</v>
      </c>
      <c r="G9" s="3" t="s">
        <v>166</v>
      </c>
      <c r="H9" s="22" t="s">
        <v>123</v>
      </c>
      <c r="I9" s="3">
        <v>479</v>
      </c>
      <c r="J9" s="20">
        <v>42178</v>
      </c>
      <c r="K9" s="24">
        <v>7500</v>
      </c>
      <c r="L9">
        <v>42188</v>
      </c>
      <c r="M9">
        <v>42188</v>
      </c>
    </row>
    <row r="10" spans="1:14" x14ac:dyDescent="0.25">
      <c r="A10" s="20">
        <v>42081</v>
      </c>
      <c r="B10" s="3">
        <v>1049944</v>
      </c>
      <c r="C10" s="20">
        <v>42163</v>
      </c>
      <c r="D10" s="21" t="s">
        <v>231</v>
      </c>
      <c r="F10" s="21" t="s">
        <v>156</v>
      </c>
      <c r="G10" s="3" t="s">
        <v>167</v>
      </c>
      <c r="H10" s="22" t="s">
        <v>129</v>
      </c>
      <c r="I10" s="3">
        <v>480</v>
      </c>
      <c r="J10" s="20">
        <v>42178</v>
      </c>
      <c r="K10" s="24">
        <v>15000</v>
      </c>
      <c r="L10">
        <v>42188</v>
      </c>
      <c r="M10">
        <v>42188</v>
      </c>
    </row>
    <row r="11" spans="1:14" x14ac:dyDescent="0.25">
      <c r="A11" s="20">
        <v>42081</v>
      </c>
      <c r="B11" s="3">
        <v>1049945</v>
      </c>
      <c r="C11" s="20">
        <v>42163</v>
      </c>
      <c r="D11" s="21" t="s">
        <v>232</v>
      </c>
      <c r="F11" s="21" t="s">
        <v>156</v>
      </c>
      <c r="G11" s="3" t="s">
        <v>168</v>
      </c>
      <c r="H11" s="22" t="s">
        <v>128</v>
      </c>
      <c r="I11" s="3">
        <v>481</v>
      </c>
      <c r="J11" s="20">
        <v>42178</v>
      </c>
      <c r="K11" s="24">
        <v>15000</v>
      </c>
      <c r="L11">
        <v>42188</v>
      </c>
      <c r="M11">
        <v>42188</v>
      </c>
    </row>
    <row r="12" spans="1:14" x14ac:dyDescent="0.25">
      <c r="A12" s="20">
        <v>42081</v>
      </c>
      <c r="B12" s="3">
        <v>1049946</v>
      </c>
      <c r="C12" s="20">
        <v>42165</v>
      </c>
      <c r="D12" s="21" t="s">
        <v>233</v>
      </c>
      <c r="F12" s="21" t="s">
        <v>169</v>
      </c>
      <c r="G12" s="3" t="s">
        <v>159</v>
      </c>
      <c r="H12" s="22" t="s">
        <v>126</v>
      </c>
      <c r="I12" s="3">
        <v>482</v>
      </c>
      <c r="J12" s="20">
        <v>42180</v>
      </c>
      <c r="K12" s="24">
        <v>4000</v>
      </c>
      <c r="L12">
        <v>42188</v>
      </c>
      <c r="M12">
        <v>42188</v>
      </c>
    </row>
    <row r="13" spans="1:14" x14ac:dyDescent="0.25">
      <c r="A13" s="20">
        <v>42081</v>
      </c>
      <c r="B13" s="3">
        <v>1049947</v>
      </c>
      <c r="C13" s="20">
        <v>42167</v>
      </c>
      <c r="D13" s="21" t="s">
        <v>234</v>
      </c>
      <c r="F13" s="21" t="s">
        <v>156</v>
      </c>
      <c r="G13" s="3" t="s">
        <v>160</v>
      </c>
      <c r="H13" s="22" t="s">
        <v>127</v>
      </c>
      <c r="I13" s="3">
        <v>483</v>
      </c>
      <c r="J13" s="20">
        <v>42182</v>
      </c>
      <c r="K13" s="24">
        <v>15000</v>
      </c>
      <c r="L13">
        <v>42188</v>
      </c>
      <c r="M13">
        <v>42188</v>
      </c>
    </row>
    <row r="14" spans="1:14" x14ac:dyDescent="0.25">
      <c r="A14" s="20">
        <v>42081</v>
      </c>
      <c r="B14" s="3">
        <v>1049948</v>
      </c>
      <c r="C14" s="20">
        <v>42169</v>
      </c>
      <c r="D14" s="21" t="s">
        <v>170</v>
      </c>
      <c r="F14" s="21" t="s">
        <v>158</v>
      </c>
      <c r="G14" s="3" t="s">
        <v>171</v>
      </c>
      <c r="H14" s="22" t="s">
        <v>125</v>
      </c>
      <c r="I14" s="3">
        <v>491</v>
      </c>
      <c r="J14" s="20">
        <v>42184</v>
      </c>
      <c r="K14" s="24">
        <v>3500</v>
      </c>
      <c r="L14">
        <v>42188</v>
      </c>
      <c r="M14">
        <v>42188</v>
      </c>
    </row>
    <row r="15" spans="1:14" x14ac:dyDescent="0.25">
      <c r="A15" s="20">
        <v>42081</v>
      </c>
      <c r="B15" s="3">
        <v>1049950</v>
      </c>
      <c r="C15" s="20">
        <v>42171</v>
      </c>
      <c r="D15" s="21" t="s">
        <v>235</v>
      </c>
      <c r="F15" s="21" t="s">
        <v>169</v>
      </c>
      <c r="G15" s="3" t="s">
        <v>167</v>
      </c>
      <c r="H15" s="22" t="s">
        <v>129</v>
      </c>
      <c r="I15" s="3">
        <v>485</v>
      </c>
      <c r="J15" s="20">
        <v>42186</v>
      </c>
      <c r="K15" s="24">
        <v>4000</v>
      </c>
      <c r="L15">
        <v>42187</v>
      </c>
      <c r="M15">
        <v>42187</v>
      </c>
    </row>
    <row r="16" spans="1:14" x14ac:dyDescent="0.25">
      <c r="A16" s="20">
        <v>42157</v>
      </c>
      <c r="B16" s="3">
        <v>1060151</v>
      </c>
      <c r="C16" s="20">
        <v>42172</v>
      </c>
      <c r="D16" s="21" t="s">
        <v>172</v>
      </c>
      <c r="F16" s="21" t="s">
        <v>161</v>
      </c>
      <c r="G16" s="3" t="s">
        <v>173</v>
      </c>
      <c r="H16" s="22" t="s">
        <v>174</v>
      </c>
      <c r="I16" s="3">
        <v>486</v>
      </c>
      <c r="J16" s="20">
        <v>42187</v>
      </c>
      <c r="K16" s="24">
        <v>12000</v>
      </c>
      <c r="L16">
        <v>42187</v>
      </c>
      <c r="M16">
        <v>42187</v>
      </c>
    </row>
    <row r="17" spans="1:13" x14ac:dyDescent="0.25">
      <c r="A17" s="20">
        <v>42157</v>
      </c>
      <c r="B17" s="3">
        <v>1060152</v>
      </c>
      <c r="C17" s="20">
        <v>42174</v>
      </c>
      <c r="D17" s="21" t="s">
        <v>236</v>
      </c>
      <c r="F17" s="21" t="s">
        <v>169</v>
      </c>
      <c r="G17" s="3" t="s">
        <v>168</v>
      </c>
      <c r="H17" s="22" t="s">
        <v>128</v>
      </c>
      <c r="I17" s="3">
        <v>492</v>
      </c>
      <c r="J17" s="20">
        <v>42189</v>
      </c>
      <c r="K17" s="24">
        <v>4000</v>
      </c>
      <c r="L17">
        <v>42187</v>
      </c>
      <c r="M17">
        <v>42187</v>
      </c>
    </row>
    <row r="18" spans="1:13" x14ac:dyDescent="0.25">
      <c r="A18" s="20">
        <v>42157</v>
      </c>
      <c r="B18" s="3">
        <v>1060153</v>
      </c>
      <c r="C18" s="20">
        <v>42177</v>
      </c>
      <c r="D18" s="21" t="s">
        <v>237</v>
      </c>
      <c r="F18" s="21" t="s">
        <v>161</v>
      </c>
      <c r="G18" s="3" t="s">
        <v>159</v>
      </c>
      <c r="H18" s="22" t="s">
        <v>126</v>
      </c>
      <c r="I18" s="3">
        <v>487</v>
      </c>
      <c r="J18" s="20">
        <v>42192</v>
      </c>
      <c r="K18" s="24">
        <v>12000</v>
      </c>
      <c r="L18">
        <v>42187</v>
      </c>
      <c r="M18">
        <v>42187</v>
      </c>
    </row>
    <row r="19" spans="1:13" x14ac:dyDescent="0.25">
      <c r="A19" s="20">
        <v>42157</v>
      </c>
      <c r="B19" s="3">
        <v>1060154</v>
      </c>
      <c r="C19" s="20">
        <v>42181</v>
      </c>
      <c r="D19" s="21" t="s">
        <v>238</v>
      </c>
      <c r="F19" s="21" t="s">
        <v>158</v>
      </c>
      <c r="G19" s="3" t="s">
        <v>171</v>
      </c>
      <c r="H19" s="22" t="s">
        <v>125</v>
      </c>
      <c r="I19" s="3">
        <v>493</v>
      </c>
      <c r="J19" s="20">
        <v>42196</v>
      </c>
      <c r="K19" s="24">
        <v>3500</v>
      </c>
      <c r="L19">
        <v>42187</v>
      </c>
      <c r="M19">
        <v>42187</v>
      </c>
    </row>
    <row r="20" spans="1:13" x14ac:dyDescent="0.25">
      <c r="A20" s="20">
        <v>42157</v>
      </c>
      <c r="B20" s="3">
        <v>1060164</v>
      </c>
      <c r="C20" s="20">
        <v>42192</v>
      </c>
      <c r="D20" s="21" t="s">
        <v>239</v>
      </c>
      <c r="F20" s="21" t="s">
        <v>169</v>
      </c>
      <c r="G20" s="3" t="s">
        <v>166</v>
      </c>
      <c r="H20" s="22" t="s">
        <v>123</v>
      </c>
      <c r="I20" s="3">
        <v>502</v>
      </c>
      <c r="J20" s="20">
        <v>42207</v>
      </c>
      <c r="K20" s="24">
        <v>4000</v>
      </c>
      <c r="L20">
        <v>42187</v>
      </c>
      <c r="M20">
        <v>42187</v>
      </c>
    </row>
    <row r="21" spans="1:13" x14ac:dyDescent="0.25">
      <c r="A21" s="20">
        <v>42157</v>
      </c>
      <c r="B21" s="3">
        <v>1060168</v>
      </c>
      <c r="C21" s="20">
        <v>42196</v>
      </c>
      <c r="D21" s="21" t="s">
        <v>175</v>
      </c>
      <c r="F21" s="21" t="s">
        <v>176</v>
      </c>
      <c r="G21" s="3" t="s">
        <v>177</v>
      </c>
      <c r="H21" s="22" t="s">
        <v>124</v>
      </c>
      <c r="I21" s="3">
        <v>506</v>
      </c>
      <c r="J21" s="20">
        <v>42211</v>
      </c>
      <c r="K21" s="24">
        <v>9000</v>
      </c>
      <c r="L21">
        <v>42248</v>
      </c>
      <c r="M21">
        <v>42248</v>
      </c>
    </row>
    <row r="22" spans="1:13" x14ac:dyDescent="0.25">
      <c r="A22" s="20">
        <v>42157</v>
      </c>
      <c r="B22" s="3">
        <v>1060169</v>
      </c>
      <c r="C22" s="20">
        <v>42200</v>
      </c>
      <c r="D22" s="21" t="s">
        <v>178</v>
      </c>
      <c r="F22" s="21" t="s">
        <v>158</v>
      </c>
      <c r="G22" s="3" t="s">
        <v>163</v>
      </c>
      <c r="H22" s="22" t="s">
        <v>164</v>
      </c>
      <c r="I22" s="3">
        <v>507</v>
      </c>
      <c r="J22" s="20">
        <v>42215</v>
      </c>
      <c r="K22" s="24">
        <v>5000</v>
      </c>
      <c r="L22">
        <v>42188</v>
      </c>
      <c r="M22">
        <v>42188</v>
      </c>
    </row>
    <row r="23" spans="1:13" x14ac:dyDescent="0.25">
      <c r="A23" s="20">
        <v>42157</v>
      </c>
      <c r="B23" s="3">
        <v>1060184</v>
      </c>
      <c r="C23" s="20">
        <v>42214</v>
      </c>
      <c r="D23" s="21" t="s">
        <v>179</v>
      </c>
      <c r="F23" s="21" t="s">
        <v>161</v>
      </c>
      <c r="G23" s="3" t="s">
        <v>163</v>
      </c>
      <c r="H23" s="22" t="s">
        <v>130</v>
      </c>
      <c r="I23" s="3">
        <v>522</v>
      </c>
      <c r="J23" s="20">
        <v>42229</v>
      </c>
      <c r="K23" s="24">
        <v>12000</v>
      </c>
      <c r="L23">
        <v>42248</v>
      </c>
      <c r="M23">
        <v>42248</v>
      </c>
    </row>
    <row r="24" spans="1:13" x14ac:dyDescent="0.25">
      <c r="A24" s="20">
        <v>42157</v>
      </c>
      <c r="B24" s="3">
        <v>1060186</v>
      </c>
      <c r="C24" s="20">
        <v>42218</v>
      </c>
      <c r="D24" s="21" t="s">
        <v>180</v>
      </c>
      <c r="F24" s="21" t="s">
        <v>169</v>
      </c>
      <c r="G24" s="3" t="s">
        <v>167</v>
      </c>
      <c r="H24" s="22" t="s">
        <v>129</v>
      </c>
      <c r="I24" s="3">
        <v>524</v>
      </c>
      <c r="J24" s="20">
        <v>42233</v>
      </c>
      <c r="K24" s="24">
        <v>4000</v>
      </c>
      <c r="L24">
        <v>42248</v>
      </c>
      <c r="M24">
        <v>42248</v>
      </c>
    </row>
    <row r="25" spans="1:13" x14ac:dyDescent="0.25">
      <c r="A25" s="20">
        <v>42157</v>
      </c>
      <c r="B25" s="3">
        <v>1060187</v>
      </c>
      <c r="C25" s="20">
        <v>42219</v>
      </c>
      <c r="D25" s="21" t="s">
        <v>181</v>
      </c>
      <c r="F25" s="21" t="s">
        <v>158</v>
      </c>
      <c r="G25" s="3" t="s">
        <v>159</v>
      </c>
      <c r="H25" s="22" t="s">
        <v>126</v>
      </c>
      <c r="I25" s="3">
        <v>525</v>
      </c>
      <c r="J25" s="20">
        <v>42234</v>
      </c>
      <c r="K25" s="24">
        <v>5000</v>
      </c>
      <c r="L25">
        <v>42248</v>
      </c>
      <c r="M25">
        <v>42248</v>
      </c>
    </row>
    <row r="26" spans="1:13" x14ac:dyDescent="0.25">
      <c r="A26" s="20">
        <v>42157</v>
      </c>
      <c r="B26" s="3">
        <v>1060190</v>
      </c>
      <c r="C26" s="20">
        <v>42220</v>
      </c>
      <c r="D26" s="21" t="s">
        <v>182</v>
      </c>
      <c r="F26" s="21" t="s">
        <v>158</v>
      </c>
      <c r="G26" s="3" t="s">
        <v>171</v>
      </c>
      <c r="H26" s="22" t="s">
        <v>125</v>
      </c>
      <c r="I26" s="3">
        <v>528</v>
      </c>
      <c r="J26" s="20">
        <v>42235</v>
      </c>
      <c r="K26" s="24">
        <v>3500</v>
      </c>
      <c r="L26">
        <v>42248</v>
      </c>
      <c r="M26">
        <v>42248</v>
      </c>
    </row>
    <row r="27" spans="1:13" x14ac:dyDescent="0.25">
      <c r="A27" s="20">
        <v>42157</v>
      </c>
      <c r="B27" s="3">
        <v>1060191</v>
      </c>
      <c r="C27" s="20">
        <v>42220</v>
      </c>
      <c r="D27" s="21" t="s">
        <v>183</v>
      </c>
      <c r="F27" s="21" t="s">
        <v>161</v>
      </c>
      <c r="G27" s="3" t="s">
        <v>171</v>
      </c>
      <c r="H27" s="22" t="s">
        <v>125</v>
      </c>
      <c r="I27" s="3">
        <v>535</v>
      </c>
      <c r="J27" s="20">
        <v>42235</v>
      </c>
      <c r="K27" s="24">
        <v>8000</v>
      </c>
      <c r="L27">
        <v>42248</v>
      </c>
      <c r="M27">
        <v>42248</v>
      </c>
    </row>
    <row r="28" spans="1:13" x14ac:dyDescent="0.25">
      <c r="A28" s="20">
        <v>42157</v>
      </c>
      <c r="B28" s="3">
        <v>1060192</v>
      </c>
      <c r="C28" s="20">
        <v>42228</v>
      </c>
      <c r="D28" s="21" t="s">
        <v>184</v>
      </c>
      <c r="F28" s="21" t="s">
        <v>185</v>
      </c>
      <c r="G28" s="3" t="s">
        <v>177</v>
      </c>
      <c r="H28" s="22" t="s">
        <v>124</v>
      </c>
      <c r="I28" s="3">
        <v>529</v>
      </c>
      <c r="J28" s="20">
        <v>42243</v>
      </c>
      <c r="K28" s="24">
        <v>7000</v>
      </c>
      <c r="L28">
        <v>42248</v>
      </c>
      <c r="M28">
        <v>42248</v>
      </c>
    </row>
    <row r="29" spans="1:13" x14ac:dyDescent="0.25">
      <c r="A29" s="20">
        <v>42157</v>
      </c>
      <c r="B29" s="3">
        <v>1060193</v>
      </c>
      <c r="C29" s="20">
        <v>42229</v>
      </c>
      <c r="D29" s="21" t="s">
        <v>186</v>
      </c>
      <c r="F29" s="21" t="s">
        <v>158</v>
      </c>
      <c r="G29" s="3" t="s">
        <v>160</v>
      </c>
      <c r="H29" s="22" t="s">
        <v>127</v>
      </c>
      <c r="I29" s="3">
        <v>530</v>
      </c>
      <c r="J29" s="20">
        <v>42244</v>
      </c>
      <c r="K29" s="24">
        <v>5000</v>
      </c>
      <c r="L29">
        <v>42248</v>
      </c>
      <c r="M29">
        <v>42248</v>
      </c>
    </row>
    <row r="30" spans="1:13" x14ac:dyDescent="0.25">
      <c r="A30" s="20">
        <v>42157</v>
      </c>
      <c r="B30" s="3">
        <v>1060194</v>
      </c>
      <c r="C30" s="20">
        <v>42229</v>
      </c>
      <c r="D30" s="21" t="s">
        <v>187</v>
      </c>
      <c r="F30" s="21" t="s">
        <v>156</v>
      </c>
      <c r="G30" s="3" t="s">
        <v>160</v>
      </c>
      <c r="H30" s="22" t="s">
        <v>127</v>
      </c>
      <c r="I30" s="3">
        <v>536</v>
      </c>
      <c r="J30" s="20">
        <v>42244</v>
      </c>
      <c r="K30" s="24">
        <v>15000</v>
      </c>
      <c r="L30">
        <v>42248</v>
      </c>
      <c r="M30">
        <v>42248</v>
      </c>
    </row>
    <row r="31" spans="1:13" x14ac:dyDescent="0.25">
      <c r="A31" s="20">
        <v>42157</v>
      </c>
      <c r="B31" s="3">
        <v>1060195</v>
      </c>
      <c r="C31" s="20">
        <v>42229</v>
      </c>
      <c r="D31" s="21" t="s">
        <v>188</v>
      </c>
      <c r="F31" s="21" t="s">
        <v>158</v>
      </c>
      <c r="G31" s="3" t="s">
        <v>163</v>
      </c>
      <c r="H31" s="22" t="s">
        <v>130</v>
      </c>
      <c r="I31" s="3">
        <v>531</v>
      </c>
      <c r="J31" s="20">
        <v>42244</v>
      </c>
      <c r="K31" s="24">
        <v>5000</v>
      </c>
      <c r="L31">
        <v>42248</v>
      </c>
      <c r="M31">
        <v>42248</v>
      </c>
    </row>
    <row r="32" spans="1:13" x14ac:dyDescent="0.25">
      <c r="A32" s="20">
        <v>42157</v>
      </c>
      <c r="B32" s="3">
        <v>1060196</v>
      </c>
      <c r="C32" s="20">
        <v>42229</v>
      </c>
      <c r="D32" s="21" t="s">
        <v>240</v>
      </c>
      <c r="F32" s="21" t="s">
        <v>161</v>
      </c>
      <c r="G32" s="3" t="s">
        <v>163</v>
      </c>
      <c r="H32" s="22" t="s">
        <v>130</v>
      </c>
      <c r="I32" s="3">
        <v>532</v>
      </c>
      <c r="J32" s="20">
        <v>42244</v>
      </c>
      <c r="K32" s="24">
        <v>12000</v>
      </c>
      <c r="L32">
        <v>42248</v>
      </c>
      <c r="M32">
        <v>42248</v>
      </c>
    </row>
    <row r="33" spans="1:13" x14ac:dyDescent="0.25">
      <c r="A33" s="20">
        <v>42157</v>
      </c>
      <c r="B33" s="3">
        <v>1060197</v>
      </c>
      <c r="C33" s="20">
        <v>42230</v>
      </c>
      <c r="D33" s="21" t="s">
        <v>172</v>
      </c>
      <c r="F33" s="21" t="s">
        <v>161</v>
      </c>
      <c r="G33" s="3" t="s">
        <v>173</v>
      </c>
      <c r="H33" s="22" t="s">
        <v>174</v>
      </c>
      <c r="I33" s="3">
        <v>533</v>
      </c>
      <c r="J33" s="20">
        <v>42245</v>
      </c>
      <c r="K33" s="24">
        <v>12000</v>
      </c>
      <c r="L33">
        <v>42248</v>
      </c>
      <c r="M33">
        <v>42248</v>
      </c>
    </row>
    <row r="34" spans="1:13" x14ac:dyDescent="0.25">
      <c r="A34" s="20">
        <v>42157</v>
      </c>
      <c r="B34" s="3">
        <v>1060198</v>
      </c>
      <c r="C34" s="20">
        <v>42232</v>
      </c>
      <c r="D34" s="21" t="s">
        <v>241</v>
      </c>
      <c r="F34" s="21" t="s">
        <v>165</v>
      </c>
      <c r="G34" s="3" t="s">
        <v>159</v>
      </c>
      <c r="H34" s="22" t="s">
        <v>126</v>
      </c>
      <c r="I34" s="3">
        <v>537</v>
      </c>
      <c r="J34" s="20">
        <v>42247</v>
      </c>
      <c r="K34" s="24">
        <v>7500</v>
      </c>
      <c r="L34">
        <v>42248</v>
      </c>
      <c r="M34">
        <v>42248</v>
      </c>
    </row>
    <row r="35" spans="1:13" x14ac:dyDescent="0.25">
      <c r="A35" s="20">
        <v>42157</v>
      </c>
      <c r="B35" s="3">
        <v>1060199</v>
      </c>
      <c r="C35" s="20">
        <v>42235</v>
      </c>
      <c r="D35" s="21" t="s">
        <v>242</v>
      </c>
      <c r="F35" s="21" t="s">
        <v>158</v>
      </c>
      <c r="G35" s="3" t="s">
        <v>166</v>
      </c>
      <c r="H35" s="22" t="s">
        <v>123</v>
      </c>
      <c r="I35" s="3">
        <v>538</v>
      </c>
      <c r="J35" s="20">
        <v>42250</v>
      </c>
      <c r="K35" s="24">
        <v>5000</v>
      </c>
      <c r="L35">
        <v>42248</v>
      </c>
      <c r="M35">
        <v>42248</v>
      </c>
    </row>
    <row r="36" spans="1:13" x14ac:dyDescent="0.25">
      <c r="A36" s="20">
        <v>42230</v>
      </c>
      <c r="B36" s="3">
        <v>1081802</v>
      </c>
      <c r="C36" s="20">
        <v>42238</v>
      </c>
      <c r="D36" s="21" t="s">
        <v>172</v>
      </c>
      <c r="F36" s="21" t="s">
        <v>161</v>
      </c>
      <c r="G36" s="3" t="s">
        <v>173</v>
      </c>
      <c r="H36" s="22" t="s">
        <v>174</v>
      </c>
      <c r="I36" s="3">
        <v>539</v>
      </c>
      <c r="J36" s="20">
        <v>42253</v>
      </c>
      <c r="K36" s="24">
        <v>12000</v>
      </c>
      <c r="L36">
        <v>42248</v>
      </c>
      <c r="M36">
        <v>42248</v>
      </c>
    </row>
    <row r="37" spans="1:13" x14ac:dyDescent="0.25">
      <c r="A37" s="20">
        <v>42230</v>
      </c>
      <c r="B37" s="3">
        <v>1081804</v>
      </c>
      <c r="C37" s="20">
        <v>42240</v>
      </c>
      <c r="D37" s="21" t="s">
        <v>243</v>
      </c>
      <c r="F37" s="21" t="s">
        <v>189</v>
      </c>
      <c r="G37" s="3" t="s">
        <v>171</v>
      </c>
      <c r="H37" s="22" t="s">
        <v>125</v>
      </c>
      <c r="I37" s="3">
        <v>543</v>
      </c>
      <c r="J37" s="20">
        <v>42255</v>
      </c>
      <c r="K37" s="24">
        <v>2500</v>
      </c>
      <c r="L37">
        <v>42248</v>
      </c>
      <c r="M37">
        <v>42248</v>
      </c>
    </row>
    <row r="38" spans="1:13" x14ac:dyDescent="0.25">
      <c r="A38" s="20">
        <v>42230</v>
      </c>
      <c r="B38" s="3">
        <v>1081805</v>
      </c>
      <c r="C38" s="20">
        <v>42240</v>
      </c>
      <c r="D38" s="21" t="s">
        <v>190</v>
      </c>
      <c r="F38" s="21" t="s">
        <v>169</v>
      </c>
      <c r="G38" s="3" t="s">
        <v>171</v>
      </c>
      <c r="H38" s="22" t="s">
        <v>125</v>
      </c>
      <c r="I38" s="3">
        <v>544</v>
      </c>
      <c r="J38" s="20">
        <v>42255</v>
      </c>
      <c r="K38" s="24">
        <v>2500</v>
      </c>
      <c r="L38">
        <v>42248</v>
      </c>
      <c r="M38">
        <v>42248</v>
      </c>
    </row>
    <row r="39" spans="1:13" x14ac:dyDescent="0.25">
      <c r="A39" s="20">
        <v>42230</v>
      </c>
      <c r="B39" s="3">
        <v>1081806</v>
      </c>
      <c r="C39" s="20">
        <v>42241</v>
      </c>
      <c r="D39" s="21" t="s">
        <v>191</v>
      </c>
      <c r="F39" s="21" t="s">
        <v>169</v>
      </c>
      <c r="G39" s="3" t="s">
        <v>160</v>
      </c>
      <c r="H39" s="22" t="s">
        <v>127</v>
      </c>
      <c r="I39" s="3">
        <v>545</v>
      </c>
      <c r="J39" s="20">
        <v>42256</v>
      </c>
      <c r="K39" s="24">
        <v>4000</v>
      </c>
      <c r="L39">
        <v>42248</v>
      </c>
      <c r="M39">
        <v>42248</v>
      </c>
    </row>
    <row r="40" spans="1:13" x14ac:dyDescent="0.25">
      <c r="A40" s="20">
        <v>42230</v>
      </c>
      <c r="B40" s="3">
        <v>1081810</v>
      </c>
      <c r="C40" s="20">
        <v>42242</v>
      </c>
      <c r="D40" s="21" t="s">
        <v>192</v>
      </c>
      <c r="F40" s="21" t="s">
        <v>158</v>
      </c>
      <c r="G40" s="3" t="s">
        <v>167</v>
      </c>
      <c r="H40" s="22" t="s">
        <v>164</v>
      </c>
      <c r="I40" s="3">
        <v>549</v>
      </c>
      <c r="J40" s="20">
        <v>42257</v>
      </c>
      <c r="K40" s="24">
        <v>5000</v>
      </c>
      <c r="L40">
        <v>42248</v>
      </c>
      <c r="M40">
        <v>42248</v>
      </c>
    </row>
    <row r="41" spans="1:13" x14ac:dyDescent="0.25">
      <c r="A41" s="20">
        <v>42230</v>
      </c>
      <c r="B41" s="3">
        <v>1081814</v>
      </c>
      <c r="C41" s="20">
        <v>42247</v>
      </c>
      <c r="D41" s="21" t="s">
        <v>193</v>
      </c>
      <c r="F41" s="21" t="s">
        <v>169</v>
      </c>
      <c r="G41" s="3" t="s">
        <v>166</v>
      </c>
      <c r="H41" s="22" t="s">
        <v>123</v>
      </c>
      <c r="I41" s="3">
        <v>553</v>
      </c>
      <c r="J41" s="20">
        <v>42262</v>
      </c>
      <c r="K41" s="24">
        <v>4000</v>
      </c>
      <c r="L41">
        <v>42248</v>
      </c>
      <c r="M41">
        <v>42248</v>
      </c>
    </row>
    <row r="42" spans="1:13" x14ac:dyDescent="0.25">
      <c r="A42" s="20">
        <v>42230</v>
      </c>
      <c r="B42" s="3">
        <v>1081831</v>
      </c>
      <c r="C42" s="20">
        <v>42269</v>
      </c>
      <c r="D42" s="21" t="s">
        <v>194</v>
      </c>
      <c r="F42" s="21" t="s">
        <v>189</v>
      </c>
      <c r="G42" s="3" t="s">
        <v>171</v>
      </c>
      <c r="H42" s="22" t="s">
        <v>125</v>
      </c>
      <c r="I42" s="3">
        <v>568</v>
      </c>
      <c r="J42" s="20">
        <v>42284</v>
      </c>
      <c r="K42" s="24">
        <v>2500</v>
      </c>
      <c r="L42">
        <v>42249</v>
      </c>
      <c r="M42">
        <v>42249</v>
      </c>
    </row>
    <row r="43" spans="1:13" x14ac:dyDescent="0.25">
      <c r="A43" s="20">
        <v>42230</v>
      </c>
      <c r="B43" s="3">
        <v>1081843</v>
      </c>
      <c r="C43" s="20">
        <v>42279</v>
      </c>
      <c r="D43" s="21" t="s">
        <v>195</v>
      </c>
      <c r="F43" s="21" t="s">
        <v>169</v>
      </c>
      <c r="G43" s="3" t="s">
        <v>159</v>
      </c>
      <c r="H43" s="22" t="s">
        <v>126</v>
      </c>
      <c r="I43" s="3">
        <v>583</v>
      </c>
      <c r="J43" s="20">
        <v>42294</v>
      </c>
      <c r="K43" s="24">
        <v>4000</v>
      </c>
      <c r="L43">
        <v>42278</v>
      </c>
      <c r="M43">
        <v>42278</v>
      </c>
    </row>
    <row r="44" spans="1:13" x14ac:dyDescent="0.25">
      <c r="A44" s="20">
        <v>42230</v>
      </c>
      <c r="B44" s="3">
        <v>1081847</v>
      </c>
      <c r="C44" s="20">
        <v>42284</v>
      </c>
      <c r="D44" s="21" t="s">
        <v>196</v>
      </c>
      <c r="F44" s="21" t="s">
        <v>161</v>
      </c>
      <c r="G44" s="3" t="s">
        <v>171</v>
      </c>
      <c r="H44" s="22" t="s">
        <v>125</v>
      </c>
      <c r="I44" s="3">
        <v>585</v>
      </c>
      <c r="J44" s="20">
        <v>42299</v>
      </c>
      <c r="K44" s="24">
        <v>8000</v>
      </c>
      <c r="L44">
        <v>42250</v>
      </c>
      <c r="M44">
        <v>42250</v>
      </c>
    </row>
    <row r="45" spans="1:13" x14ac:dyDescent="0.25">
      <c r="A45" s="20">
        <v>42278</v>
      </c>
      <c r="B45" s="3">
        <v>1099618</v>
      </c>
      <c r="C45" s="20">
        <v>42308</v>
      </c>
      <c r="D45" s="21" t="s">
        <v>197</v>
      </c>
      <c r="F45" s="21" t="s">
        <v>156</v>
      </c>
      <c r="G45" s="3" t="s">
        <v>163</v>
      </c>
      <c r="H45" s="22" t="s">
        <v>130</v>
      </c>
      <c r="I45" s="3">
        <v>607</v>
      </c>
      <c r="J45" s="20">
        <v>42323</v>
      </c>
      <c r="K45" s="24">
        <v>15000</v>
      </c>
      <c r="L45">
        <v>42408</v>
      </c>
      <c r="M45">
        <v>42416</v>
      </c>
    </row>
    <row r="46" spans="1:13" x14ac:dyDescent="0.25">
      <c r="A46" s="20">
        <v>42278</v>
      </c>
      <c r="B46" s="3">
        <v>1099619</v>
      </c>
      <c r="C46" s="20">
        <v>42308</v>
      </c>
      <c r="D46" s="21" t="s">
        <v>244</v>
      </c>
      <c r="F46" s="21" t="s">
        <v>169</v>
      </c>
      <c r="G46" s="3" t="s">
        <v>166</v>
      </c>
      <c r="H46" s="22" t="s">
        <v>123</v>
      </c>
      <c r="I46" s="3">
        <v>608</v>
      </c>
      <c r="J46" s="20">
        <v>42323</v>
      </c>
      <c r="K46" s="24">
        <v>4000</v>
      </c>
      <c r="L46">
        <v>42408</v>
      </c>
      <c r="M46">
        <v>42398</v>
      </c>
    </row>
    <row r="47" spans="1:13" x14ac:dyDescent="0.25">
      <c r="A47" s="20">
        <v>42278</v>
      </c>
      <c r="B47" s="3">
        <v>1099622</v>
      </c>
      <c r="C47" s="20">
        <v>42312</v>
      </c>
      <c r="D47" s="21" t="s">
        <v>198</v>
      </c>
      <c r="F47" s="21" t="s">
        <v>161</v>
      </c>
      <c r="G47" s="3" t="s">
        <v>171</v>
      </c>
      <c r="H47" s="22" t="s">
        <v>125</v>
      </c>
      <c r="I47" s="3">
        <v>611</v>
      </c>
      <c r="J47" s="20">
        <v>42327</v>
      </c>
      <c r="K47" s="24">
        <v>8000</v>
      </c>
      <c r="L47">
        <v>42412</v>
      </c>
      <c r="M47">
        <v>42416</v>
      </c>
    </row>
    <row r="48" spans="1:13" x14ac:dyDescent="0.25">
      <c r="A48" s="20">
        <v>42339</v>
      </c>
      <c r="B48" s="3">
        <v>1120610</v>
      </c>
      <c r="C48" s="20">
        <v>42352</v>
      </c>
      <c r="D48" s="21" t="s">
        <v>199</v>
      </c>
      <c r="F48" s="21" t="s">
        <v>169</v>
      </c>
      <c r="G48" s="3" t="s">
        <v>160</v>
      </c>
      <c r="H48" s="22" t="s">
        <v>127</v>
      </c>
      <c r="I48" s="3">
        <v>648</v>
      </c>
      <c r="J48" s="20">
        <v>42367</v>
      </c>
      <c r="K48" s="24">
        <v>4000</v>
      </c>
      <c r="L48">
        <v>42452</v>
      </c>
      <c r="M48">
        <v>42459</v>
      </c>
    </row>
    <row r="49" spans="1:13" x14ac:dyDescent="0.25">
      <c r="A49" s="20">
        <v>42339</v>
      </c>
      <c r="B49" s="3">
        <v>1120620</v>
      </c>
      <c r="C49" s="20">
        <v>42377</v>
      </c>
      <c r="D49" s="21" t="s">
        <v>200</v>
      </c>
      <c r="F49" s="21" t="s">
        <v>156</v>
      </c>
      <c r="G49" s="3" t="s">
        <v>201</v>
      </c>
      <c r="H49" s="22" t="s">
        <v>131</v>
      </c>
      <c r="I49" s="3">
        <v>670</v>
      </c>
      <c r="J49" s="20">
        <v>42401</v>
      </c>
      <c r="K49" s="24">
        <v>15000</v>
      </c>
      <c r="L49">
        <f>J49+90</f>
        <v>42491</v>
      </c>
      <c r="M49">
        <v>42509</v>
      </c>
    </row>
    <row r="50" spans="1:13" x14ac:dyDescent="0.25">
      <c r="A50" s="20">
        <v>42424</v>
      </c>
      <c r="B50" s="3">
        <v>1138576</v>
      </c>
      <c r="C50" s="20">
        <v>42511</v>
      </c>
      <c r="D50" s="21" t="s">
        <v>260</v>
      </c>
      <c r="E50" s="21" t="s">
        <v>261</v>
      </c>
      <c r="F50" s="21" t="s">
        <v>203</v>
      </c>
      <c r="G50" s="3" t="s">
        <v>245</v>
      </c>
      <c r="H50" s="22" t="s">
        <v>128</v>
      </c>
      <c r="I50" s="3">
        <v>723</v>
      </c>
      <c r="J50" s="20">
        <v>42536</v>
      </c>
      <c r="K50" s="24">
        <v>5000</v>
      </c>
      <c r="L50">
        <f t="shared" ref="L50" si="0">J50+90</f>
        <v>42626</v>
      </c>
      <c r="M50">
        <v>42611</v>
      </c>
    </row>
    <row r="51" spans="1:13" x14ac:dyDescent="0.25">
      <c r="A51" s="20">
        <v>42513</v>
      </c>
      <c r="B51" s="3">
        <v>1170753</v>
      </c>
      <c r="C51" s="20">
        <v>42563</v>
      </c>
      <c r="D51" s="21" t="s">
        <v>263</v>
      </c>
      <c r="E51" s="21" t="s">
        <v>274</v>
      </c>
      <c r="F51" s="21" t="s">
        <v>204</v>
      </c>
      <c r="G51" s="3" t="s">
        <v>256</v>
      </c>
      <c r="H51" s="22" t="s">
        <v>130</v>
      </c>
      <c r="I51" s="3">
        <v>753</v>
      </c>
      <c r="J51" s="20">
        <v>42591</v>
      </c>
      <c r="K51" s="24">
        <v>15000</v>
      </c>
      <c r="L51">
        <f>J51+90</f>
        <v>42681</v>
      </c>
      <c r="M51">
        <v>42752</v>
      </c>
    </row>
    <row r="52" spans="1:13" x14ac:dyDescent="0.25">
      <c r="A52" s="20">
        <v>42513</v>
      </c>
      <c r="B52" s="3">
        <v>1170755</v>
      </c>
      <c r="C52" s="20">
        <v>42564</v>
      </c>
      <c r="D52" s="21" t="s">
        <v>264</v>
      </c>
      <c r="E52" s="21" t="s">
        <v>275</v>
      </c>
      <c r="F52" s="21" t="s">
        <v>204</v>
      </c>
      <c r="G52" s="3" t="s">
        <v>245</v>
      </c>
      <c r="H52" s="22" t="s">
        <v>128</v>
      </c>
      <c r="I52" s="3">
        <v>748</v>
      </c>
      <c r="J52" s="20">
        <v>42588</v>
      </c>
      <c r="K52" s="24">
        <v>15000</v>
      </c>
      <c r="L52">
        <f t="shared" ref="L52:L56" si="1">J52+90</f>
        <v>42678</v>
      </c>
      <c r="M52">
        <v>42741</v>
      </c>
    </row>
    <row r="53" spans="1:13" x14ac:dyDescent="0.25">
      <c r="A53" s="20">
        <v>42513</v>
      </c>
      <c r="B53" s="3">
        <v>1170756</v>
      </c>
      <c r="C53" s="20">
        <v>42564</v>
      </c>
      <c r="D53" s="21" t="s">
        <v>265</v>
      </c>
      <c r="E53" s="21" t="s">
        <v>276</v>
      </c>
      <c r="F53" s="21" t="s">
        <v>204</v>
      </c>
      <c r="G53" s="3" t="s">
        <v>247</v>
      </c>
      <c r="H53" s="22" t="s">
        <v>125</v>
      </c>
      <c r="I53" s="3">
        <v>747</v>
      </c>
      <c r="J53" s="20">
        <v>42584</v>
      </c>
      <c r="K53" s="24">
        <v>10000</v>
      </c>
      <c r="L53">
        <f t="shared" si="1"/>
        <v>42674</v>
      </c>
      <c r="M53">
        <v>42741</v>
      </c>
    </row>
    <row r="54" spans="1:13" x14ac:dyDescent="0.25">
      <c r="A54" s="20">
        <v>42513</v>
      </c>
      <c r="B54" s="3">
        <v>1170757</v>
      </c>
      <c r="C54" s="20">
        <v>42567</v>
      </c>
      <c r="D54" s="21" t="s">
        <v>266</v>
      </c>
      <c r="E54" s="21" t="s">
        <v>277</v>
      </c>
      <c r="F54" s="21" t="s">
        <v>204</v>
      </c>
      <c r="G54" s="3" t="s">
        <v>202</v>
      </c>
      <c r="H54" s="22" t="s">
        <v>127</v>
      </c>
      <c r="I54" s="3">
        <v>750</v>
      </c>
      <c r="J54" s="20">
        <v>42588</v>
      </c>
      <c r="K54" s="24">
        <v>15000</v>
      </c>
      <c r="L54">
        <f t="shared" si="1"/>
        <v>42678</v>
      </c>
      <c r="M54">
        <v>42752</v>
      </c>
    </row>
    <row r="55" spans="1:13" x14ac:dyDescent="0.25">
      <c r="A55" s="20">
        <v>42513</v>
      </c>
      <c r="B55" s="3">
        <v>1170758</v>
      </c>
      <c r="C55" s="20">
        <v>42567</v>
      </c>
      <c r="D55" s="21" t="s">
        <v>267</v>
      </c>
      <c r="E55" s="21" t="s">
        <v>278</v>
      </c>
      <c r="F55" s="21" t="s">
        <v>212</v>
      </c>
      <c r="G55" s="3" t="s">
        <v>205</v>
      </c>
      <c r="H55" s="22" t="s">
        <v>124</v>
      </c>
      <c r="I55" s="3">
        <v>752</v>
      </c>
      <c r="J55" s="20">
        <v>42591</v>
      </c>
      <c r="K55" s="24">
        <v>9000</v>
      </c>
      <c r="L55">
        <f t="shared" si="1"/>
        <v>42681</v>
      </c>
      <c r="M55">
        <v>42755</v>
      </c>
    </row>
    <row r="56" spans="1:13" x14ac:dyDescent="0.25">
      <c r="A56" s="20">
        <v>42513</v>
      </c>
      <c r="B56" s="3">
        <v>1170759</v>
      </c>
      <c r="C56" s="20">
        <v>42576</v>
      </c>
      <c r="D56" s="21" t="s">
        <v>279</v>
      </c>
      <c r="F56" s="21" t="s">
        <v>213</v>
      </c>
      <c r="G56" s="3" t="s">
        <v>246</v>
      </c>
      <c r="H56" s="22" t="s">
        <v>174</v>
      </c>
      <c r="I56" s="3">
        <v>749</v>
      </c>
      <c r="J56" s="20">
        <v>42588</v>
      </c>
      <c r="K56" s="24">
        <v>12000</v>
      </c>
      <c r="L56">
        <f t="shared" si="1"/>
        <v>42678</v>
      </c>
      <c r="M56">
        <v>42741</v>
      </c>
    </row>
    <row r="57" spans="1:13" x14ac:dyDescent="0.25">
      <c r="A57" s="20">
        <v>42513</v>
      </c>
      <c r="B57" s="3">
        <v>1170760</v>
      </c>
      <c r="C57" s="20">
        <v>42580</v>
      </c>
      <c r="D57" s="21" t="s">
        <v>280</v>
      </c>
      <c r="E57" s="21" t="s">
        <v>281</v>
      </c>
      <c r="F57" s="21" t="s">
        <v>254</v>
      </c>
      <c r="G57" s="3" t="s">
        <v>256</v>
      </c>
      <c r="H57" s="22" t="s">
        <v>130</v>
      </c>
      <c r="I57" s="3">
        <v>762</v>
      </c>
      <c r="J57" s="20">
        <v>42613</v>
      </c>
      <c r="K57" s="24">
        <v>7500</v>
      </c>
      <c r="L57">
        <f>J57+90</f>
        <v>42703</v>
      </c>
      <c r="M57">
        <v>42752</v>
      </c>
    </row>
    <row r="58" spans="1:13" x14ac:dyDescent="0.25">
      <c r="A58" s="20">
        <v>42513</v>
      </c>
      <c r="B58" s="3">
        <v>1170761</v>
      </c>
      <c r="C58" s="20">
        <v>42581</v>
      </c>
      <c r="D58" s="21" t="s">
        <v>282</v>
      </c>
      <c r="F58" s="21" t="s">
        <v>212</v>
      </c>
      <c r="G58" s="3" t="s">
        <v>262</v>
      </c>
      <c r="H58" s="22" t="s">
        <v>131</v>
      </c>
      <c r="I58" s="3">
        <v>751</v>
      </c>
      <c r="J58" s="20">
        <v>42588</v>
      </c>
      <c r="K58" s="24">
        <v>9000</v>
      </c>
      <c r="L58">
        <f t="shared" ref="L58:L66" si="2">J58+90</f>
        <v>42678</v>
      </c>
      <c r="M58">
        <v>42752</v>
      </c>
    </row>
    <row r="59" spans="1:13" x14ac:dyDescent="0.25">
      <c r="A59" s="20">
        <v>42513</v>
      </c>
      <c r="B59" s="3">
        <v>1170762</v>
      </c>
      <c r="C59" s="20">
        <v>42584</v>
      </c>
      <c r="D59" s="21" t="s">
        <v>283</v>
      </c>
      <c r="F59" s="21" t="s">
        <v>213</v>
      </c>
      <c r="G59" s="3" t="s">
        <v>247</v>
      </c>
      <c r="H59" s="22" t="s">
        <v>125</v>
      </c>
      <c r="I59" s="3">
        <v>754</v>
      </c>
      <c r="J59" s="20">
        <v>42595</v>
      </c>
      <c r="K59" s="24">
        <v>8000</v>
      </c>
      <c r="L59">
        <f t="shared" si="2"/>
        <v>42685</v>
      </c>
      <c r="M59">
        <v>42755</v>
      </c>
    </row>
    <row r="60" spans="1:13" x14ac:dyDescent="0.25">
      <c r="A60" s="20">
        <v>42513</v>
      </c>
      <c r="B60" s="3">
        <v>1170775</v>
      </c>
      <c r="C60" s="20">
        <v>42610</v>
      </c>
      <c r="D60" s="21" t="s">
        <v>285</v>
      </c>
      <c r="F60" s="21" t="s">
        <v>254</v>
      </c>
      <c r="G60" s="3" t="s">
        <v>245</v>
      </c>
      <c r="H60" s="22" t="s">
        <v>128</v>
      </c>
      <c r="I60" s="3">
        <v>770</v>
      </c>
      <c r="J60" s="20">
        <v>42633</v>
      </c>
      <c r="K60" s="24">
        <v>7500</v>
      </c>
      <c r="L60">
        <f t="shared" si="2"/>
        <v>42723</v>
      </c>
      <c r="M60">
        <v>42803</v>
      </c>
    </row>
    <row r="61" spans="1:13" x14ac:dyDescent="0.25">
      <c r="A61" s="20">
        <v>42513</v>
      </c>
      <c r="B61" s="3">
        <v>1170783</v>
      </c>
      <c r="C61" s="20">
        <v>42635</v>
      </c>
      <c r="D61" s="21" t="s">
        <v>287</v>
      </c>
      <c r="F61" s="21" t="s">
        <v>203</v>
      </c>
      <c r="G61" s="3" t="s">
        <v>245</v>
      </c>
      <c r="H61" s="22" t="s">
        <v>128</v>
      </c>
      <c r="I61" s="3">
        <v>779</v>
      </c>
      <c r="J61" s="20">
        <v>42646</v>
      </c>
      <c r="K61" s="24">
        <v>5000</v>
      </c>
      <c r="L61">
        <f t="shared" si="2"/>
        <v>42736</v>
      </c>
      <c r="M61">
        <v>42755</v>
      </c>
    </row>
    <row r="62" spans="1:13" x14ac:dyDescent="0.25">
      <c r="A62" s="20">
        <v>42513</v>
      </c>
      <c r="B62" s="3">
        <v>1170793</v>
      </c>
      <c r="C62" s="20">
        <v>42644</v>
      </c>
      <c r="D62" s="21" t="s">
        <v>288</v>
      </c>
      <c r="E62" s="21" t="s">
        <v>289</v>
      </c>
      <c r="F62" s="21" t="s">
        <v>284</v>
      </c>
      <c r="G62" s="3" t="s">
        <v>262</v>
      </c>
      <c r="H62" s="22" t="s">
        <v>131</v>
      </c>
      <c r="I62" s="3">
        <v>786</v>
      </c>
      <c r="J62" s="20">
        <v>42662</v>
      </c>
      <c r="K62" s="24">
        <v>9000</v>
      </c>
      <c r="L62">
        <f t="shared" si="2"/>
        <v>42752</v>
      </c>
      <c r="M62">
        <v>42881</v>
      </c>
    </row>
    <row r="63" spans="1:13" x14ac:dyDescent="0.25">
      <c r="A63" s="20">
        <v>42644</v>
      </c>
      <c r="B63" s="3">
        <v>1190465</v>
      </c>
      <c r="C63" s="20">
        <v>42688</v>
      </c>
      <c r="D63" s="21" t="s">
        <v>290</v>
      </c>
      <c r="E63" s="21" t="s">
        <v>291</v>
      </c>
      <c r="F63" s="21" t="s">
        <v>211</v>
      </c>
      <c r="G63" s="3" t="s">
        <v>286</v>
      </c>
      <c r="H63" s="22" t="s">
        <v>125</v>
      </c>
      <c r="I63" s="3">
        <v>813</v>
      </c>
      <c r="J63" s="20">
        <v>42710</v>
      </c>
      <c r="K63" s="24">
        <v>10000</v>
      </c>
      <c r="L63">
        <f t="shared" si="2"/>
        <v>42800</v>
      </c>
      <c r="M63">
        <v>43026</v>
      </c>
    </row>
    <row r="64" spans="1:13" x14ac:dyDescent="0.25">
      <c r="A64" s="20">
        <v>42644</v>
      </c>
      <c r="B64" s="3">
        <v>1190476</v>
      </c>
      <c r="C64" s="20">
        <v>42705</v>
      </c>
      <c r="D64" s="21" t="s">
        <v>293</v>
      </c>
      <c r="F64" s="21" t="s">
        <v>294</v>
      </c>
      <c r="G64" s="3" t="s">
        <v>286</v>
      </c>
      <c r="H64" s="22" t="s">
        <v>125</v>
      </c>
      <c r="I64" s="3">
        <v>814</v>
      </c>
      <c r="J64" s="20">
        <v>42710</v>
      </c>
      <c r="K64" s="24">
        <v>2500</v>
      </c>
      <c r="L64">
        <f t="shared" si="2"/>
        <v>42800</v>
      </c>
      <c r="M64">
        <v>42741</v>
      </c>
    </row>
    <row r="65" spans="1:13" x14ac:dyDescent="0.25">
      <c r="A65" s="20">
        <v>42644</v>
      </c>
      <c r="B65" s="3">
        <v>1190477</v>
      </c>
      <c r="C65" s="20">
        <v>42707</v>
      </c>
      <c r="D65" s="21" t="s">
        <v>295</v>
      </c>
      <c r="E65" s="21" t="s">
        <v>296</v>
      </c>
      <c r="F65" s="21" t="s">
        <v>204</v>
      </c>
      <c r="G65" s="3" t="s">
        <v>256</v>
      </c>
      <c r="H65" s="22" t="s">
        <v>130</v>
      </c>
      <c r="I65" s="3">
        <v>824</v>
      </c>
      <c r="J65" s="20">
        <v>42738</v>
      </c>
      <c r="K65" s="24">
        <v>15000</v>
      </c>
      <c r="L65">
        <f t="shared" si="2"/>
        <v>42828</v>
      </c>
      <c r="M65">
        <v>43060</v>
      </c>
    </row>
    <row r="66" spans="1:13" x14ac:dyDescent="0.25">
      <c r="A66" s="20">
        <v>42644</v>
      </c>
      <c r="B66" s="3">
        <v>1190482</v>
      </c>
      <c r="C66" s="20">
        <v>42710</v>
      </c>
      <c r="D66" s="21" t="s">
        <v>297</v>
      </c>
      <c r="E66" s="21" t="s">
        <v>298</v>
      </c>
      <c r="F66" s="21" t="s">
        <v>292</v>
      </c>
      <c r="G66" s="3" t="s">
        <v>262</v>
      </c>
      <c r="H66" s="22" t="s">
        <v>131</v>
      </c>
      <c r="I66" s="3">
        <v>833</v>
      </c>
      <c r="J66" s="20">
        <v>42756</v>
      </c>
      <c r="K66" s="24">
        <v>5000</v>
      </c>
      <c r="L66">
        <f t="shared" si="2"/>
        <v>42846</v>
      </c>
      <c r="M66">
        <v>43097</v>
      </c>
    </row>
    <row r="67" spans="1:13" x14ac:dyDescent="0.25">
      <c r="A67" s="20">
        <v>42644</v>
      </c>
      <c r="B67" s="3">
        <v>1190488</v>
      </c>
      <c r="C67" s="20">
        <v>42717</v>
      </c>
      <c r="D67" s="21" t="s">
        <v>299</v>
      </c>
      <c r="F67" s="21" t="s">
        <v>210</v>
      </c>
      <c r="G67" s="3" t="s">
        <v>245</v>
      </c>
      <c r="H67" s="22" t="s">
        <v>128</v>
      </c>
    </row>
    <row r="68" spans="1:13" x14ac:dyDescent="0.25">
      <c r="A68" s="20">
        <v>42749</v>
      </c>
      <c r="B68" s="3">
        <v>1222704</v>
      </c>
      <c r="C68" s="20">
        <v>42762</v>
      </c>
      <c r="D68" s="21" t="s">
        <v>300</v>
      </c>
      <c r="F68" s="21" t="s">
        <v>253</v>
      </c>
      <c r="G68" s="3" t="s">
        <v>286</v>
      </c>
      <c r="H68" s="22" t="s">
        <v>251</v>
      </c>
      <c r="I68" s="3">
        <v>849</v>
      </c>
      <c r="J68" s="20">
        <v>42787</v>
      </c>
      <c r="K68" s="24">
        <v>3500</v>
      </c>
      <c r="L68">
        <f t="shared" ref="L68:L70" si="3">J68+90</f>
        <v>42877</v>
      </c>
      <c r="M68">
        <v>43120</v>
      </c>
    </row>
    <row r="69" spans="1:13" x14ac:dyDescent="0.25">
      <c r="A69" s="20">
        <v>42749</v>
      </c>
      <c r="B69" s="3">
        <v>1222705</v>
      </c>
      <c r="C69" s="20">
        <v>42762</v>
      </c>
      <c r="D69" s="21" t="s">
        <v>301</v>
      </c>
      <c r="F69" s="21" t="s">
        <v>213</v>
      </c>
      <c r="G69" s="3" t="s">
        <v>286</v>
      </c>
      <c r="H69" s="22" t="s">
        <v>251</v>
      </c>
      <c r="I69" s="3">
        <v>850</v>
      </c>
      <c r="J69" s="20">
        <v>42787</v>
      </c>
      <c r="K69" s="24">
        <v>12000</v>
      </c>
      <c r="L69">
        <f t="shared" si="3"/>
        <v>42877</v>
      </c>
      <c r="M69">
        <v>43123</v>
      </c>
    </row>
    <row r="70" spans="1:13" x14ac:dyDescent="0.25">
      <c r="A70" s="20">
        <v>42749</v>
      </c>
      <c r="B70" s="3">
        <v>1222707</v>
      </c>
      <c r="C70" s="20">
        <v>42765</v>
      </c>
      <c r="D70" s="21" t="s">
        <v>302</v>
      </c>
      <c r="E70" s="21" t="s">
        <v>303</v>
      </c>
      <c r="F70" s="21" t="s">
        <v>204</v>
      </c>
      <c r="G70" s="3" t="s">
        <v>202</v>
      </c>
      <c r="H70" s="22" t="s">
        <v>127</v>
      </c>
      <c r="I70" s="3">
        <v>853</v>
      </c>
      <c r="J70" s="20">
        <v>42790</v>
      </c>
      <c r="K70" s="24">
        <v>15000</v>
      </c>
      <c r="L70">
        <f t="shared" si="3"/>
        <v>42880</v>
      </c>
      <c r="M70">
        <v>43140</v>
      </c>
    </row>
    <row r="71" spans="1:13" x14ac:dyDescent="0.25">
      <c r="A71" s="20">
        <v>42749</v>
      </c>
      <c r="B71" s="3">
        <v>1222715</v>
      </c>
      <c r="C71" s="20">
        <v>42776</v>
      </c>
      <c r="D71" s="21" t="s">
        <v>304</v>
      </c>
      <c r="E71" s="21" t="s">
        <v>305</v>
      </c>
      <c r="F71" s="21" t="s">
        <v>254</v>
      </c>
      <c r="G71" s="3" t="s">
        <v>202</v>
      </c>
      <c r="H71" s="22" t="s">
        <v>127</v>
      </c>
      <c r="I71" s="3">
        <v>859</v>
      </c>
      <c r="J71" s="20">
        <v>42809</v>
      </c>
      <c r="K71" s="24">
        <v>7500</v>
      </c>
      <c r="L71">
        <f>J71+90</f>
        <v>42899</v>
      </c>
      <c r="M71">
        <v>43158</v>
      </c>
    </row>
    <row r="72" spans="1:13" x14ac:dyDescent="0.25">
      <c r="A72" s="20">
        <v>42749</v>
      </c>
      <c r="B72" s="3">
        <v>1222716</v>
      </c>
      <c r="C72" s="20">
        <v>42779</v>
      </c>
      <c r="D72" s="21" t="s">
        <v>306</v>
      </c>
      <c r="F72" s="21" t="s">
        <v>213</v>
      </c>
      <c r="G72" s="3" t="s">
        <v>246</v>
      </c>
      <c r="H72" s="22" t="s">
        <v>174</v>
      </c>
      <c r="I72" s="3">
        <v>848</v>
      </c>
      <c r="J72" s="20">
        <v>42786</v>
      </c>
      <c r="K72" s="24">
        <v>12000</v>
      </c>
      <c r="L72">
        <f>J72+90</f>
        <v>42876</v>
      </c>
      <c r="M72">
        <v>43123</v>
      </c>
    </row>
    <row r="73" spans="1:13" x14ac:dyDescent="0.25">
      <c r="A73" s="20">
        <v>42749</v>
      </c>
      <c r="B73" s="3">
        <v>1222717</v>
      </c>
      <c r="C73" s="20">
        <v>42780</v>
      </c>
      <c r="D73" s="21" t="s">
        <v>307</v>
      </c>
      <c r="F73" s="21" t="s">
        <v>210</v>
      </c>
      <c r="G73" s="3" t="s">
        <v>245</v>
      </c>
      <c r="H73" s="22" t="s">
        <v>128</v>
      </c>
    </row>
    <row r="74" spans="1:13" x14ac:dyDescent="0.25">
      <c r="A74" s="20">
        <v>42749</v>
      </c>
      <c r="B74" s="3">
        <v>1222718</v>
      </c>
      <c r="C74" s="20">
        <v>42780</v>
      </c>
      <c r="D74" s="21" t="s">
        <v>308</v>
      </c>
      <c r="E74" s="21" t="s">
        <v>309</v>
      </c>
      <c r="F74" s="21" t="s">
        <v>203</v>
      </c>
      <c r="G74" s="3" t="s">
        <v>256</v>
      </c>
      <c r="H74" s="22" t="s">
        <v>130</v>
      </c>
      <c r="I74" s="3">
        <v>856</v>
      </c>
      <c r="J74" s="20">
        <v>42801</v>
      </c>
      <c r="K74" s="24">
        <v>5000</v>
      </c>
      <c r="L74">
        <f t="shared" ref="L74:L86" si="4">J74+90</f>
        <v>42891</v>
      </c>
      <c r="M74">
        <v>43123</v>
      </c>
    </row>
    <row r="75" spans="1:13" x14ac:dyDescent="0.25">
      <c r="A75" s="20">
        <v>42749</v>
      </c>
      <c r="B75" s="3">
        <v>1222719</v>
      </c>
      <c r="C75" s="20">
        <v>42787</v>
      </c>
      <c r="D75" s="21" t="s">
        <v>310</v>
      </c>
      <c r="F75" s="21" t="s">
        <v>257</v>
      </c>
      <c r="G75" s="3" t="s">
        <v>286</v>
      </c>
      <c r="H75" s="22" t="s">
        <v>251</v>
      </c>
      <c r="I75" s="3">
        <v>854</v>
      </c>
      <c r="J75" s="20">
        <v>42791</v>
      </c>
      <c r="K75" s="24">
        <v>2500</v>
      </c>
      <c r="L75">
        <f t="shared" si="4"/>
        <v>42881</v>
      </c>
      <c r="M75">
        <v>43123</v>
      </c>
    </row>
    <row r="76" spans="1:13" x14ac:dyDescent="0.25">
      <c r="A76" s="20">
        <v>42749</v>
      </c>
      <c r="B76" s="3">
        <v>1222720</v>
      </c>
      <c r="C76" s="20">
        <v>42787</v>
      </c>
      <c r="D76" s="21" t="s">
        <v>311</v>
      </c>
      <c r="F76" s="21" t="s">
        <v>294</v>
      </c>
      <c r="G76" s="3" t="s">
        <v>286</v>
      </c>
      <c r="H76" s="22" t="s">
        <v>251</v>
      </c>
      <c r="I76" s="3">
        <v>855</v>
      </c>
      <c r="J76" s="20">
        <v>42791</v>
      </c>
      <c r="K76" s="24">
        <v>2500</v>
      </c>
      <c r="L76">
        <f t="shared" si="4"/>
        <v>42881</v>
      </c>
      <c r="M76">
        <v>43123</v>
      </c>
    </row>
    <row r="77" spans="1:13" x14ac:dyDescent="0.25">
      <c r="A77" s="20">
        <v>42749</v>
      </c>
      <c r="B77" s="3">
        <v>1222723</v>
      </c>
      <c r="C77" s="20">
        <v>42791</v>
      </c>
      <c r="D77" s="21" t="s">
        <v>312</v>
      </c>
      <c r="F77" s="21" t="s">
        <v>253</v>
      </c>
      <c r="G77" s="3" t="s">
        <v>286</v>
      </c>
      <c r="H77" s="22" t="s">
        <v>251</v>
      </c>
      <c r="I77" s="3">
        <v>857</v>
      </c>
      <c r="J77" s="20">
        <v>42801</v>
      </c>
      <c r="K77" s="24">
        <v>3500</v>
      </c>
      <c r="L77">
        <f t="shared" si="4"/>
        <v>42891</v>
      </c>
      <c r="M77">
        <v>43123</v>
      </c>
    </row>
    <row r="78" spans="1:13" x14ac:dyDescent="0.25">
      <c r="A78" s="20">
        <v>42749</v>
      </c>
      <c r="B78" s="3">
        <v>1222724</v>
      </c>
      <c r="C78" s="20">
        <v>42791</v>
      </c>
      <c r="D78" s="21" t="s">
        <v>313</v>
      </c>
      <c r="F78" s="21" t="s">
        <v>255</v>
      </c>
      <c r="G78" s="3" t="s">
        <v>286</v>
      </c>
      <c r="H78" s="22" t="s">
        <v>251</v>
      </c>
      <c r="I78" s="3">
        <v>858</v>
      </c>
      <c r="J78" s="20">
        <v>42801</v>
      </c>
      <c r="K78" s="24">
        <v>8000</v>
      </c>
      <c r="L78">
        <f t="shared" si="4"/>
        <v>42891</v>
      </c>
      <c r="M78">
        <v>43137</v>
      </c>
    </row>
    <row r="79" spans="1:13" x14ac:dyDescent="0.25">
      <c r="A79" s="20">
        <v>42749</v>
      </c>
      <c r="B79" s="3">
        <v>1222725</v>
      </c>
      <c r="C79" s="20">
        <v>42795</v>
      </c>
      <c r="D79" s="21" t="s">
        <v>314</v>
      </c>
      <c r="F79" s="21" t="s">
        <v>203</v>
      </c>
      <c r="G79" s="3" t="s">
        <v>246</v>
      </c>
      <c r="H79" s="22" t="s">
        <v>174</v>
      </c>
      <c r="I79" s="3">
        <v>860</v>
      </c>
      <c r="J79" s="20">
        <v>42809</v>
      </c>
      <c r="K79" s="24">
        <v>5000</v>
      </c>
      <c r="L79">
        <f t="shared" si="4"/>
        <v>42899</v>
      </c>
      <c r="M79">
        <v>43158</v>
      </c>
    </row>
    <row r="80" spans="1:13" x14ac:dyDescent="0.25">
      <c r="A80" s="20">
        <v>42749</v>
      </c>
      <c r="B80" s="3">
        <v>1222728</v>
      </c>
      <c r="C80" s="20">
        <v>42804</v>
      </c>
      <c r="D80" s="21" t="s">
        <v>316</v>
      </c>
      <c r="F80" s="21" t="s">
        <v>253</v>
      </c>
      <c r="G80" s="3" t="s">
        <v>286</v>
      </c>
      <c r="H80" s="22" t="s">
        <v>251</v>
      </c>
      <c r="I80" s="3">
        <v>867</v>
      </c>
      <c r="J80" s="20">
        <v>42833</v>
      </c>
      <c r="K80" s="24">
        <v>3500</v>
      </c>
      <c r="L80">
        <f t="shared" si="4"/>
        <v>42923</v>
      </c>
      <c r="M80">
        <v>43162</v>
      </c>
    </row>
    <row r="81" spans="1:13" x14ac:dyDescent="0.25">
      <c r="A81" s="20">
        <v>42749</v>
      </c>
      <c r="B81" s="3">
        <v>1222729</v>
      </c>
      <c r="C81" s="20">
        <v>42804</v>
      </c>
      <c r="D81" s="21" t="s">
        <v>317</v>
      </c>
      <c r="F81" s="21" t="s">
        <v>213</v>
      </c>
      <c r="G81" s="3" t="s">
        <v>286</v>
      </c>
      <c r="H81" s="22" t="s">
        <v>251</v>
      </c>
      <c r="I81" s="3">
        <v>868</v>
      </c>
      <c r="J81" s="20">
        <v>42833</v>
      </c>
      <c r="K81" s="24">
        <v>12000</v>
      </c>
      <c r="L81">
        <f t="shared" si="4"/>
        <v>42923</v>
      </c>
      <c r="M81">
        <v>43175</v>
      </c>
    </row>
    <row r="82" spans="1:13" x14ac:dyDescent="0.25">
      <c r="A82" s="20">
        <v>42749</v>
      </c>
      <c r="B82" s="3">
        <v>1222734</v>
      </c>
      <c r="C82" s="20">
        <v>42826</v>
      </c>
      <c r="D82" s="21" t="s">
        <v>318</v>
      </c>
      <c r="F82" s="21" t="s">
        <v>213</v>
      </c>
      <c r="G82" s="3" t="s">
        <v>246</v>
      </c>
      <c r="H82" s="22" t="s">
        <v>174</v>
      </c>
      <c r="I82" s="3">
        <v>872</v>
      </c>
      <c r="J82" s="20">
        <v>42854</v>
      </c>
      <c r="K82" s="24">
        <v>12000</v>
      </c>
      <c r="L82">
        <f t="shared" si="4"/>
        <v>42944</v>
      </c>
      <c r="M82">
        <v>43201</v>
      </c>
    </row>
    <row r="83" spans="1:13" x14ac:dyDescent="0.25">
      <c r="A83" s="20">
        <v>42749</v>
      </c>
      <c r="B83" s="3">
        <v>1222735</v>
      </c>
      <c r="C83" s="20">
        <v>42833</v>
      </c>
      <c r="D83" s="21" t="s">
        <v>319</v>
      </c>
      <c r="F83" s="21" t="s">
        <v>253</v>
      </c>
      <c r="G83" s="3" t="s">
        <v>286</v>
      </c>
      <c r="H83" s="22" t="s">
        <v>251</v>
      </c>
      <c r="I83" s="3">
        <v>870</v>
      </c>
      <c r="J83" s="20">
        <v>42848</v>
      </c>
      <c r="K83" s="24">
        <v>3500</v>
      </c>
      <c r="L83">
        <f t="shared" si="4"/>
        <v>42938</v>
      </c>
      <c r="M83">
        <v>43162</v>
      </c>
    </row>
    <row r="84" spans="1:13" x14ac:dyDescent="0.25">
      <c r="A84" s="20">
        <v>42749</v>
      </c>
      <c r="B84" s="3">
        <v>1222736</v>
      </c>
      <c r="C84" s="20">
        <v>42833</v>
      </c>
      <c r="D84" s="21" t="s">
        <v>320</v>
      </c>
      <c r="F84" s="21" t="s">
        <v>255</v>
      </c>
      <c r="G84" s="3" t="s">
        <v>286</v>
      </c>
      <c r="H84" s="22" t="s">
        <v>251</v>
      </c>
      <c r="I84" s="3">
        <v>871</v>
      </c>
      <c r="J84" s="20">
        <v>42848</v>
      </c>
      <c r="K84" s="24">
        <v>8000</v>
      </c>
      <c r="L84">
        <f t="shared" si="4"/>
        <v>42938</v>
      </c>
      <c r="M84">
        <v>43201</v>
      </c>
    </row>
    <row r="85" spans="1:13" x14ac:dyDescent="0.25">
      <c r="A85" s="20">
        <v>42749</v>
      </c>
      <c r="B85" s="3">
        <v>1222739</v>
      </c>
      <c r="C85" s="20">
        <v>42848</v>
      </c>
      <c r="D85" s="21" t="s">
        <v>322</v>
      </c>
      <c r="F85" s="21" t="s">
        <v>323</v>
      </c>
      <c r="G85" s="3" t="s">
        <v>286</v>
      </c>
      <c r="H85" s="22" t="s">
        <v>251</v>
      </c>
      <c r="I85" s="3">
        <v>873</v>
      </c>
      <c r="J85" s="20">
        <v>42854</v>
      </c>
      <c r="K85" s="24">
        <v>3500</v>
      </c>
      <c r="L85">
        <f t="shared" si="4"/>
        <v>42944</v>
      </c>
      <c r="M85">
        <v>43162</v>
      </c>
    </row>
    <row r="86" spans="1:13" x14ac:dyDescent="0.25">
      <c r="A86" s="20">
        <v>42749</v>
      </c>
      <c r="B86" s="3">
        <v>1222741</v>
      </c>
      <c r="C86" s="20">
        <v>42854</v>
      </c>
      <c r="D86" s="21" t="s">
        <v>324</v>
      </c>
      <c r="F86" s="21" t="s">
        <v>255</v>
      </c>
      <c r="G86" s="3" t="s">
        <v>286</v>
      </c>
      <c r="H86" s="22" t="s">
        <v>131</v>
      </c>
      <c r="I86" s="3">
        <v>874</v>
      </c>
      <c r="J86" s="20">
        <v>42861</v>
      </c>
      <c r="K86" s="24">
        <v>8000</v>
      </c>
      <c r="L86">
        <f t="shared" si="4"/>
        <v>42951</v>
      </c>
      <c r="M86">
        <v>43201</v>
      </c>
    </row>
    <row r="87" spans="1:13" x14ac:dyDescent="0.25">
      <c r="A87" s="20">
        <v>42749</v>
      </c>
      <c r="B87" s="3">
        <v>1222743</v>
      </c>
      <c r="C87" s="20">
        <v>42861</v>
      </c>
      <c r="D87" s="21" t="s">
        <v>325</v>
      </c>
      <c r="E87" s="21" t="s">
        <v>675</v>
      </c>
      <c r="F87" s="21" t="s">
        <v>204</v>
      </c>
      <c r="G87" s="3" t="s">
        <v>205</v>
      </c>
      <c r="H87" s="22" t="s">
        <v>250</v>
      </c>
    </row>
    <row r="88" spans="1:13" x14ac:dyDescent="0.25">
      <c r="A88" s="20">
        <v>42749</v>
      </c>
      <c r="B88" s="3">
        <v>1222744</v>
      </c>
      <c r="C88" s="20">
        <v>42863</v>
      </c>
      <c r="D88" s="21" t="s">
        <v>326</v>
      </c>
      <c r="F88" s="21" t="s">
        <v>253</v>
      </c>
      <c r="G88" s="3" t="s">
        <v>286</v>
      </c>
      <c r="H88" s="22" t="s">
        <v>251</v>
      </c>
      <c r="I88" s="3">
        <v>879</v>
      </c>
      <c r="J88" s="20">
        <v>42869</v>
      </c>
      <c r="K88" s="24">
        <v>3500</v>
      </c>
      <c r="L88">
        <f t="shared" ref="L88:L89" si="5">J88+90</f>
        <v>42959</v>
      </c>
      <c r="M88">
        <v>43175</v>
      </c>
    </row>
    <row r="89" spans="1:13" x14ac:dyDescent="0.25">
      <c r="A89" s="20">
        <v>42749</v>
      </c>
      <c r="B89" s="3">
        <v>1222745</v>
      </c>
      <c r="C89" s="20">
        <v>42863</v>
      </c>
      <c r="D89" s="21" t="s">
        <v>327</v>
      </c>
      <c r="E89" s="21" t="s">
        <v>676</v>
      </c>
      <c r="F89" s="21" t="s">
        <v>211</v>
      </c>
      <c r="G89" s="3" t="s">
        <v>286</v>
      </c>
      <c r="H89" s="22" t="s">
        <v>251</v>
      </c>
      <c r="I89" s="3">
        <v>881</v>
      </c>
      <c r="J89" s="20">
        <v>42874</v>
      </c>
      <c r="K89" s="24">
        <v>10000</v>
      </c>
      <c r="L89">
        <f t="shared" si="5"/>
        <v>42964</v>
      </c>
      <c r="M89">
        <v>43228</v>
      </c>
    </row>
    <row r="90" spans="1:13" x14ac:dyDescent="0.25">
      <c r="A90" s="20">
        <v>42749</v>
      </c>
      <c r="B90" s="3">
        <v>1222750</v>
      </c>
      <c r="C90" s="20">
        <v>42874</v>
      </c>
      <c r="D90" s="21" t="s">
        <v>677</v>
      </c>
      <c r="F90" s="21" t="s">
        <v>255</v>
      </c>
      <c r="G90" s="3" t="s">
        <v>286</v>
      </c>
      <c r="H90" s="22" t="s">
        <v>251</v>
      </c>
    </row>
    <row r="91" spans="1:13" x14ac:dyDescent="0.25">
      <c r="A91" s="20">
        <v>42873</v>
      </c>
      <c r="B91" s="3">
        <v>1271602</v>
      </c>
      <c r="C91" s="20">
        <v>42877</v>
      </c>
      <c r="D91" s="21" t="s">
        <v>678</v>
      </c>
      <c r="F91" s="21" t="s">
        <v>213</v>
      </c>
      <c r="G91" s="3" t="s">
        <v>246</v>
      </c>
      <c r="H91" s="22" t="s">
        <v>174</v>
      </c>
    </row>
    <row r="92" spans="1:13" x14ac:dyDescent="0.25">
      <c r="A92" s="20">
        <v>42873</v>
      </c>
      <c r="B92" s="3">
        <v>1271603</v>
      </c>
      <c r="C92" s="20">
        <v>42882</v>
      </c>
      <c r="D92" s="21" t="s">
        <v>679</v>
      </c>
      <c r="E92" s="21" t="s">
        <v>680</v>
      </c>
      <c r="F92" s="21" t="s">
        <v>284</v>
      </c>
      <c r="G92" s="3" t="s">
        <v>321</v>
      </c>
      <c r="H92" s="22" t="s">
        <v>124</v>
      </c>
      <c r="I92" s="3">
        <v>890</v>
      </c>
      <c r="J92" s="20">
        <v>42900</v>
      </c>
      <c r="K92" s="24">
        <v>9000</v>
      </c>
      <c r="L92">
        <f t="shared" ref="L92:L93" si="6">J92+90</f>
        <v>42990</v>
      </c>
      <c r="M92">
        <v>43242</v>
      </c>
    </row>
    <row r="93" spans="1:13" x14ac:dyDescent="0.25">
      <c r="A93" s="20">
        <v>42873</v>
      </c>
      <c r="B93" s="3">
        <v>1271607</v>
      </c>
      <c r="C93" s="20">
        <v>42888</v>
      </c>
      <c r="D93" s="21" t="s">
        <v>681</v>
      </c>
      <c r="F93" s="21" t="s">
        <v>257</v>
      </c>
      <c r="G93" s="3" t="s">
        <v>286</v>
      </c>
      <c r="H93" s="22" t="s">
        <v>251</v>
      </c>
      <c r="I93" s="3">
        <v>887</v>
      </c>
      <c r="J93" s="20">
        <v>42895</v>
      </c>
      <c r="K93" s="24">
        <v>2500</v>
      </c>
      <c r="L93">
        <f t="shared" si="6"/>
        <v>42985</v>
      </c>
      <c r="M93">
        <v>43158</v>
      </c>
    </row>
    <row r="94" spans="1:13" x14ac:dyDescent="0.25">
      <c r="A94" s="20">
        <v>42873</v>
      </c>
      <c r="B94" s="3">
        <v>1271609</v>
      </c>
      <c r="C94" s="20">
        <v>42895</v>
      </c>
      <c r="D94" s="21" t="s">
        <v>682</v>
      </c>
      <c r="F94" s="21" t="s">
        <v>203</v>
      </c>
      <c r="G94" s="3" t="s">
        <v>286</v>
      </c>
      <c r="H94" s="22" t="s">
        <v>251</v>
      </c>
    </row>
    <row r="95" spans="1:13" x14ac:dyDescent="0.25">
      <c r="A95" s="20">
        <v>42873</v>
      </c>
      <c r="B95" s="3">
        <v>1271610</v>
      </c>
      <c r="C95" s="20">
        <v>42895</v>
      </c>
      <c r="D95" s="21" t="s">
        <v>683</v>
      </c>
      <c r="F95" s="21" t="s">
        <v>213</v>
      </c>
      <c r="G95" s="3" t="s">
        <v>286</v>
      </c>
      <c r="H95" s="22" t="s">
        <v>251</v>
      </c>
    </row>
    <row r="96" spans="1:13" x14ac:dyDescent="0.25">
      <c r="A96" s="20">
        <v>42873</v>
      </c>
      <c r="B96" s="3">
        <v>1271611</v>
      </c>
      <c r="C96" s="20">
        <v>42895</v>
      </c>
      <c r="D96" s="21" t="s">
        <v>684</v>
      </c>
      <c r="F96" s="21" t="s">
        <v>213</v>
      </c>
      <c r="G96" s="3" t="s">
        <v>246</v>
      </c>
      <c r="H96" s="22" t="s">
        <v>174</v>
      </c>
    </row>
    <row r="97" spans="1:13" x14ac:dyDescent="0.25">
      <c r="A97" s="20">
        <v>42873</v>
      </c>
      <c r="B97" s="3">
        <v>1271613</v>
      </c>
      <c r="C97" s="20">
        <v>42900</v>
      </c>
      <c r="D97" s="21" t="s">
        <v>685</v>
      </c>
      <c r="E97" s="21" t="s">
        <v>686</v>
      </c>
      <c r="F97" s="21" t="s">
        <v>284</v>
      </c>
      <c r="G97" s="3" t="s">
        <v>321</v>
      </c>
      <c r="H97" s="22" t="s">
        <v>124</v>
      </c>
    </row>
    <row r="98" spans="1:13" x14ac:dyDescent="0.25">
      <c r="A98" s="20">
        <v>42873</v>
      </c>
      <c r="B98" s="3">
        <v>1271614</v>
      </c>
      <c r="C98" s="20">
        <v>42907</v>
      </c>
      <c r="D98" s="21" t="s">
        <v>687</v>
      </c>
      <c r="F98" s="21" t="s">
        <v>253</v>
      </c>
      <c r="G98" s="3" t="s">
        <v>286</v>
      </c>
      <c r="H98" s="22" t="s">
        <v>251</v>
      </c>
      <c r="I98" s="3">
        <v>893</v>
      </c>
      <c r="J98" s="20">
        <v>42919</v>
      </c>
      <c r="K98" s="24">
        <v>3500</v>
      </c>
      <c r="L98">
        <f>J98+90</f>
        <v>43009</v>
      </c>
      <c r="M98">
        <v>43253</v>
      </c>
    </row>
    <row r="99" spans="1:13" x14ac:dyDescent="0.25">
      <c r="A99" s="20">
        <v>42873</v>
      </c>
      <c r="B99" s="3">
        <v>1271615</v>
      </c>
      <c r="C99" s="20">
        <v>42907</v>
      </c>
      <c r="D99" s="21" t="s">
        <v>688</v>
      </c>
      <c r="F99" s="21" t="s">
        <v>255</v>
      </c>
      <c r="G99" s="3" t="s">
        <v>286</v>
      </c>
      <c r="H99" s="22" t="s">
        <v>251</v>
      </c>
      <c r="I99" s="3">
        <v>894</v>
      </c>
      <c r="J99" s="20">
        <v>42919</v>
      </c>
      <c r="K99" s="24">
        <v>8000</v>
      </c>
      <c r="L99">
        <f>J99+90</f>
        <v>43009</v>
      </c>
      <c r="M99">
        <v>43253</v>
      </c>
    </row>
    <row r="100" spans="1:13" x14ac:dyDescent="0.25">
      <c r="A100" s="20">
        <v>42873</v>
      </c>
      <c r="B100" s="3">
        <v>1271616</v>
      </c>
      <c r="C100" s="20">
        <v>42907</v>
      </c>
      <c r="D100" s="21" t="s">
        <v>689</v>
      </c>
      <c r="E100" s="21" t="s">
        <v>690</v>
      </c>
      <c r="F100" s="21" t="s">
        <v>254</v>
      </c>
      <c r="G100" s="3" t="s">
        <v>205</v>
      </c>
      <c r="H100" s="22" t="s">
        <v>130</v>
      </c>
    </row>
    <row r="101" spans="1:13" x14ac:dyDescent="0.25">
      <c r="A101" s="20">
        <v>42873</v>
      </c>
      <c r="B101" s="3">
        <v>1271617</v>
      </c>
      <c r="C101" s="20">
        <v>42914</v>
      </c>
      <c r="D101" s="21" t="s">
        <v>691</v>
      </c>
      <c r="E101" s="21" t="s">
        <v>692</v>
      </c>
      <c r="F101" s="21" t="s">
        <v>284</v>
      </c>
      <c r="G101" s="3" t="s">
        <v>321</v>
      </c>
      <c r="H101" s="22" t="s">
        <v>124</v>
      </c>
    </row>
    <row r="102" spans="1:13" x14ac:dyDescent="0.25">
      <c r="A102" s="20">
        <v>42873</v>
      </c>
      <c r="B102" s="3">
        <v>1271618</v>
      </c>
      <c r="C102" s="20">
        <v>42919</v>
      </c>
      <c r="D102" s="21" t="s">
        <v>693</v>
      </c>
      <c r="E102" s="21" t="s">
        <v>694</v>
      </c>
      <c r="F102" s="21" t="s">
        <v>211</v>
      </c>
      <c r="G102" s="3" t="s">
        <v>286</v>
      </c>
      <c r="H102" s="22" t="s">
        <v>251</v>
      </c>
    </row>
    <row r="103" spans="1:13" x14ac:dyDescent="0.25">
      <c r="A103" s="20">
        <v>42873</v>
      </c>
      <c r="B103" s="3">
        <v>1271622</v>
      </c>
      <c r="C103" s="20">
        <v>42927</v>
      </c>
      <c r="D103" s="21" t="s">
        <v>695</v>
      </c>
      <c r="E103" s="21" t="s">
        <v>696</v>
      </c>
      <c r="F103" s="21" t="s">
        <v>254</v>
      </c>
      <c r="G103" s="3" t="s">
        <v>205</v>
      </c>
      <c r="H103" s="22" t="s">
        <v>130</v>
      </c>
      <c r="I103" s="3">
        <v>908</v>
      </c>
      <c r="J103" s="20">
        <v>42960</v>
      </c>
      <c r="K103" s="24">
        <v>7500</v>
      </c>
      <c r="L103">
        <f t="shared" ref="L103:L127" si="7">J103+90</f>
        <v>43050</v>
      </c>
      <c r="M103">
        <v>43593</v>
      </c>
    </row>
    <row r="104" spans="1:13" x14ac:dyDescent="0.25">
      <c r="A104" s="20">
        <v>42873</v>
      </c>
      <c r="B104" s="3">
        <v>1271623</v>
      </c>
      <c r="C104" s="20">
        <v>42927</v>
      </c>
      <c r="D104" s="21" t="s">
        <v>697</v>
      </c>
      <c r="F104" s="21" t="s">
        <v>203</v>
      </c>
      <c r="G104" s="3" t="s">
        <v>202</v>
      </c>
      <c r="H104" s="22" t="s">
        <v>128</v>
      </c>
      <c r="I104" s="3">
        <v>902</v>
      </c>
      <c r="J104" s="20">
        <v>42945</v>
      </c>
      <c r="K104" s="24">
        <v>5000</v>
      </c>
      <c r="L104">
        <f t="shared" si="7"/>
        <v>43035</v>
      </c>
      <c r="M104">
        <v>43336</v>
      </c>
    </row>
    <row r="105" spans="1:13" x14ac:dyDescent="0.25">
      <c r="A105" s="20">
        <v>42873</v>
      </c>
      <c r="B105" s="3">
        <v>1271626</v>
      </c>
      <c r="C105" s="20">
        <v>42935</v>
      </c>
      <c r="D105" s="21" t="s">
        <v>698</v>
      </c>
      <c r="F105" s="21" t="s">
        <v>699</v>
      </c>
      <c r="G105" s="3" t="s">
        <v>286</v>
      </c>
      <c r="H105" s="22" t="s">
        <v>251</v>
      </c>
      <c r="I105" s="3">
        <v>901</v>
      </c>
      <c r="J105" s="20">
        <v>42943</v>
      </c>
      <c r="K105" s="24">
        <v>4000</v>
      </c>
      <c r="L105">
        <f t="shared" si="7"/>
        <v>43033</v>
      </c>
      <c r="M105">
        <v>43253</v>
      </c>
    </row>
    <row r="106" spans="1:13" x14ac:dyDescent="0.25">
      <c r="A106" s="20">
        <v>42873</v>
      </c>
      <c r="B106" s="3">
        <v>1271630</v>
      </c>
      <c r="C106" s="20">
        <v>42943</v>
      </c>
      <c r="D106" s="21" t="s">
        <v>700</v>
      </c>
      <c r="F106" s="21" t="s">
        <v>253</v>
      </c>
      <c r="G106" s="3" t="s">
        <v>286</v>
      </c>
      <c r="H106" s="22" t="s">
        <v>251</v>
      </c>
      <c r="I106" s="3">
        <v>906</v>
      </c>
      <c r="J106" s="20">
        <v>42957</v>
      </c>
      <c r="K106" s="24">
        <v>3500</v>
      </c>
      <c r="L106">
        <f t="shared" si="7"/>
        <v>43047</v>
      </c>
      <c r="M106">
        <v>43276</v>
      </c>
    </row>
    <row r="107" spans="1:13" x14ac:dyDescent="0.25">
      <c r="A107" s="20">
        <v>42873</v>
      </c>
      <c r="B107" s="3">
        <v>1271631</v>
      </c>
      <c r="C107" s="20">
        <v>42943</v>
      </c>
      <c r="D107" s="21" t="s">
        <v>701</v>
      </c>
      <c r="F107" s="21" t="s">
        <v>213</v>
      </c>
      <c r="G107" s="3" t="s">
        <v>286</v>
      </c>
      <c r="H107" s="22" t="s">
        <v>251</v>
      </c>
      <c r="I107" s="3">
        <v>907</v>
      </c>
      <c r="J107" s="20">
        <v>42957</v>
      </c>
      <c r="K107" s="24">
        <v>12000</v>
      </c>
      <c r="L107">
        <f t="shared" si="7"/>
        <v>43047</v>
      </c>
      <c r="M107">
        <v>43593</v>
      </c>
    </row>
    <row r="108" spans="1:13" x14ac:dyDescent="0.25">
      <c r="A108" s="20">
        <v>42873</v>
      </c>
      <c r="B108" s="3">
        <v>1271634</v>
      </c>
      <c r="C108" s="20">
        <v>42960</v>
      </c>
      <c r="D108" s="21" t="s">
        <v>702</v>
      </c>
      <c r="F108" s="21" t="s">
        <v>254</v>
      </c>
      <c r="G108" s="3" t="s">
        <v>205</v>
      </c>
      <c r="H108" s="22" t="s">
        <v>130</v>
      </c>
      <c r="I108" s="3">
        <v>915</v>
      </c>
      <c r="J108" s="20">
        <v>42979</v>
      </c>
      <c r="K108" s="24">
        <v>7500</v>
      </c>
      <c r="L108">
        <f t="shared" si="7"/>
        <v>43069</v>
      </c>
      <c r="M108">
        <v>43593</v>
      </c>
    </row>
    <row r="109" spans="1:13" x14ac:dyDescent="0.25">
      <c r="A109" s="20">
        <v>42873</v>
      </c>
      <c r="B109" s="3">
        <v>1271635</v>
      </c>
      <c r="C109" s="20">
        <v>42960</v>
      </c>
      <c r="D109" s="21" t="s">
        <v>703</v>
      </c>
      <c r="F109" s="21" t="s">
        <v>204</v>
      </c>
      <c r="G109" s="3" t="s">
        <v>205</v>
      </c>
      <c r="H109" s="22" t="s">
        <v>130</v>
      </c>
      <c r="I109" s="3">
        <v>916</v>
      </c>
      <c r="J109" s="20">
        <v>42979</v>
      </c>
      <c r="K109" s="24">
        <v>15000</v>
      </c>
      <c r="L109">
        <f t="shared" si="7"/>
        <v>43069</v>
      </c>
      <c r="M109">
        <v>43593</v>
      </c>
    </row>
    <row r="110" spans="1:13" x14ac:dyDescent="0.25">
      <c r="A110" s="20">
        <v>42873</v>
      </c>
      <c r="B110" s="3">
        <v>1271636</v>
      </c>
      <c r="C110" s="20">
        <v>42964</v>
      </c>
      <c r="D110" s="21" t="s">
        <v>704</v>
      </c>
      <c r="F110" s="21" t="s">
        <v>203</v>
      </c>
      <c r="G110" s="3" t="s">
        <v>246</v>
      </c>
      <c r="H110" s="22" t="s">
        <v>174</v>
      </c>
      <c r="I110" s="3">
        <v>918</v>
      </c>
      <c r="J110" s="20">
        <v>42986</v>
      </c>
      <c r="K110" s="24">
        <v>5000</v>
      </c>
      <c r="L110">
        <f t="shared" si="7"/>
        <v>43076</v>
      </c>
      <c r="M110">
        <v>43593</v>
      </c>
    </row>
    <row r="111" spans="1:13" x14ac:dyDescent="0.25">
      <c r="A111" s="20">
        <v>42873</v>
      </c>
      <c r="B111" s="3">
        <v>1271638</v>
      </c>
      <c r="C111" s="20">
        <v>42966</v>
      </c>
      <c r="D111" s="21" t="s">
        <v>705</v>
      </c>
      <c r="F111" s="21" t="s">
        <v>255</v>
      </c>
      <c r="G111" s="3" t="s">
        <v>286</v>
      </c>
      <c r="H111" s="22" t="s">
        <v>251</v>
      </c>
      <c r="I111" s="3">
        <v>913</v>
      </c>
      <c r="J111" s="20">
        <v>42978</v>
      </c>
      <c r="K111" s="24">
        <v>8000</v>
      </c>
      <c r="L111">
        <f t="shared" si="7"/>
        <v>43068</v>
      </c>
      <c r="M111">
        <v>43593</v>
      </c>
    </row>
    <row r="112" spans="1:13" x14ac:dyDescent="0.25">
      <c r="A112" s="20">
        <v>42873</v>
      </c>
      <c r="B112" s="3">
        <v>1271640</v>
      </c>
      <c r="C112" s="20">
        <v>42967</v>
      </c>
      <c r="D112" s="21" t="s">
        <v>706</v>
      </c>
      <c r="E112" s="21" t="s">
        <v>707</v>
      </c>
      <c r="F112" s="21" t="s">
        <v>284</v>
      </c>
      <c r="G112" s="3" t="s">
        <v>262</v>
      </c>
      <c r="H112" s="22" t="s">
        <v>131</v>
      </c>
      <c r="I112" s="3">
        <v>917</v>
      </c>
      <c r="J112" s="20">
        <v>42983</v>
      </c>
      <c r="K112" s="24">
        <v>9000</v>
      </c>
      <c r="L112">
        <f t="shared" si="7"/>
        <v>43073</v>
      </c>
      <c r="M112">
        <v>43600</v>
      </c>
    </row>
    <row r="113" spans="1:13" x14ac:dyDescent="0.25">
      <c r="A113" s="20">
        <v>42873</v>
      </c>
      <c r="B113" s="3">
        <v>1271641</v>
      </c>
      <c r="C113" s="20">
        <v>42978</v>
      </c>
      <c r="D113" s="21" t="s">
        <v>708</v>
      </c>
      <c r="E113" s="21" t="s">
        <v>709</v>
      </c>
      <c r="F113" s="21" t="s">
        <v>211</v>
      </c>
      <c r="G113" s="3" t="s">
        <v>286</v>
      </c>
      <c r="H113" s="22" t="s">
        <v>251</v>
      </c>
      <c r="I113" s="3">
        <v>921</v>
      </c>
      <c r="J113" s="20">
        <v>42989</v>
      </c>
      <c r="K113" s="24">
        <v>10000</v>
      </c>
      <c r="L113">
        <f t="shared" si="7"/>
        <v>43079</v>
      </c>
      <c r="M113">
        <v>43600</v>
      </c>
    </row>
    <row r="114" spans="1:13" x14ac:dyDescent="0.25">
      <c r="A114" s="20">
        <v>42873</v>
      </c>
      <c r="B114" s="3">
        <v>1271643</v>
      </c>
      <c r="C114" s="20">
        <v>42979</v>
      </c>
      <c r="D114" s="21" t="s">
        <v>710</v>
      </c>
      <c r="E114" s="21" t="s">
        <v>711</v>
      </c>
      <c r="F114" s="21" t="s">
        <v>712</v>
      </c>
      <c r="G114" s="3" t="s">
        <v>321</v>
      </c>
      <c r="H114" s="22" t="s">
        <v>124</v>
      </c>
      <c r="I114" s="3">
        <v>920</v>
      </c>
      <c r="J114" s="20">
        <v>42988</v>
      </c>
      <c r="K114" s="24">
        <v>7000</v>
      </c>
      <c r="L114">
        <f t="shared" si="7"/>
        <v>43078</v>
      </c>
      <c r="M114">
        <v>43600</v>
      </c>
    </row>
    <row r="115" spans="1:13" x14ac:dyDescent="0.25">
      <c r="A115" s="20">
        <v>42873</v>
      </c>
      <c r="B115" s="3">
        <v>1271644</v>
      </c>
      <c r="C115" s="20">
        <v>42979</v>
      </c>
      <c r="D115" s="21" t="s">
        <v>713</v>
      </c>
      <c r="F115" s="21" t="s">
        <v>213</v>
      </c>
      <c r="G115" s="3" t="s">
        <v>205</v>
      </c>
      <c r="H115" s="22" t="s">
        <v>130</v>
      </c>
      <c r="I115" s="3">
        <v>927</v>
      </c>
      <c r="J115" s="20">
        <v>42999</v>
      </c>
      <c r="K115" s="24">
        <v>12000</v>
      </c>
      <c r="L115">
        <f t="shared" si="7"/>
        <v>43089</v>
      </c>
      <c r="M115">
        <v>43616</v>
      </c>
    </row>
    <row r="116" spans="1:13" x14ac:dyDescent="0.25">
      <c r="A116" s="20">
        <v>42873</v>
      </c>
      <c r="B116" s="3">
        <v>1271645</v>
      </c>
      <c r="C116" s="20">
        <v>42983</v>
      </c>
      <c r="D116" s="21" t="s">
        <v>714</v>
      </c>
      <c r="E116" s="21" t="s">
        <v>715</v>
      </c>
      <c r="F116" s="21" t="s">
        <v>712</v>
      </c>
      <c r="G116" s="3" t="s">
        <v>262</v>
      </c>
      <c r="H116" s="22" t="s">
        <v>131</v>
      </c>
      <c r="I116" s="3">
        <v>922</v>
      </c>
      <c r="J116" s="20">
        <v>42992</v>
      </c>
      <c r="K116" s="24">
        <v>7000</v>
      </c>
      <c r="L116">
        <f t="shared" si="7"/>
        <v>43082</v>
      </c>
      <c r="M116">
        <v>43600</v>
      </c>
    </row>
    <row r="117" spans="1:13" x14ac:dyDescent="0.25">
      <c r="A117" s="20">
        <v>42873</v>
      </c>
      <c r="B117" s="3">
        <v>1271646</v>
      </c>
      <c r="C117" s="20">
        <v>42986</v>
      </c>
      <c r="D117" s="21" t="s">
        <v>716</v>
      </c>
      <c r="F117" s="21" t="s">
        <v>213</v>
      </c>
      <c r="G117" s="3" t="s">
        <v>246</v>
      </c>
      <c r="H117" s="22" t="s">
        <v>174</v>
      </c>
      <c r="I117" s="3">
        <v>929</v>
      </c>
      <c r="J117" s="20">
        <v>43003</v>
      </c>
      <c r="K117" s="24">
        <v>12000</v>
      </c>
      <c r="L117">
        <f t="shared" si="7"/>
        <v>43093</v>
      </c>
      <c r="M117">
        <v>43616</v>
      </c>
    </row>
    <row r="118" spans="1:13" x14ac:dyDescent="0.25">
      <c r="A118" s="20">
        <v>42873</v>
      </c>
      <c r="B118" s="3">
        <v>1271647</v>
      </c>
      <c r="C118" s="20">
        <v>42988</v>
      </c>
      <c r="D118" s="21" t="s">
        <v>717</v>
      </c>
      <c r="E118" s="21" t="s">
        <v>718</v>
      </c>
      <c r="F118" s="21" t="s">
        <v>284</v>
      </c>
      <c r="G118" s="3" t="s">
        <v>321</v>
      </c>
      <c r="H118" s="22" t="s">
        <v>124</v>
      </c>
      <c r="I118" s="3">
        <v>925</v>
      </c>
      <c r="J118" s="20">
        <v>42999</v>
      </c>
      <c r="K118" s="24">
        <v>9000</v>
      </c>
      <c r="L118">
        <f t="shared" si="7"/>
        <v>43089</v>
      </c>
      <c r="M118">
        <v>43616</v>
      </c>
    </row>
    <row r="119" spans="1:13" x14ac:dyDescent="0.25">
      <c r="A119" s="20">
        <v>42873</v>
      </c>
      <c r="B119" s="3">
        <v>1271648</v>
      </c>
      <c r="C119" s="20">
        <v>42989</v>
      </c>
      <c r="D119" s="21" t="s">
        <v>719</v>
      </c>
      <c r="F119" s="21" t="s">
        <v>253</v>
      </c>
      <c r="G119" s="3" t="s">
        <v>286</v>
      </c>
      <c r="H119" s="22" t="s">
        <v>251</v>
      </c>
      <c r="I119" s="3">
        <v>923</v>
      </c>
      <c r="J119" s="20">
        <v>42997</v>
      </c>
      <c r="K119" s="24">
        <v>3500</v>
      </c>
      <c r="L119">
        <f t="shared" si="7"/>
        <v>43087</v>
      </c>
      <c r="M119">
        <v>43336</v>
      </c>
    </row>
    <row r="120" spans="1:13" x14ac:dyDescent="0.25">
      <c r="A120" s="20">
        <v>42873</v>
      </c>
      <c r="B120" s="3">
        <v>1271649</v>
      </c>
      <c r="C120" s="20">
        <v>42989</v>
      </c>
      <c r="D120" s="21" t="s">
        <v>720</v>
      </c>
      <c r="F120" s="21" t="s">
        <v>255</v>
      </c>
      <c r="G120" s="3" t="s">
        <v>286</v>
      </c>
      <c r="H120" s="22" t="s">
        <v>251</v>
      </c>
      <c r="I120" s="3">
        <v>924</v>
      </c>
      <c r="J120" s="20">
        <v>42997</v>
      </c>
      <c r="K120" s="24">
        <v>8000</v>
      </c>
      <c r="L120">
        <f t="shared" si="7"/>
        <v>43087</v>
      </c>
      <c r="M120">
        <v>43600</v>
      </c>
    </row>
    <row r="121" spans="1:13" x14ac:dyDescent="0.25">
      <c r="A121" s="20">
        <v>42873</v>
      </c>
      <c r="B121" s="3">
        <v>1271650</v>
      </c>
      <c r="C121" s="20">
        <v>42992</v>
      </c>
      <c r="D121" s="21" t="s">
        <v>721</v>
      </c>
      <c r="E121" s="21" t="s">
        <v>722</v>
      </c>
      <c r="F121" s="21" t="s">
        <v>284</v>
      </c>
      <c r="G121" s="3" t="s">
        <v>262</v>
      </c>
      <c r="H121" s="22" t="s">
        <v>131</v>
      </c>
      <c r="I121" s="3">
        <v>930</v>
      </c>
      <c r="J121" s="20">
        <v>43011</v>
      </c>
      <c r="K121" s="24">
        <v>9000</v>
      </c>
      <c r="L121">
        <f t="shared" si="7"/>
        <v>43101</v>
      </c>
      <c r="M121">
        <v>43616</v>
      </c>
    </row>
    <row r="122" spans="1:13" x14ac:dyDescent="0.25">
      <c r="A122" s="20">
        <v>42997</v>
      </c>
      <c r="B122" s="3">
        <v>1302101</v>
      </c>
      <c r="C122" s="20">
        <v>42997</v>
      </c>
      <c r="D122" s="21" t="s">
        <v>723</v>
      </c>
      <c r="F122" s="21" t="s">
        <v>255</v>
      </c>
      <c r="G122" s="3" t="s">
        <v>286</v>
      </c>
      <c r="H122" s="22" t="s">
        <v>251</v>
      </c>
      <c r="I122" s="3">
        <v>928</v>
      </c>
      <c r="J122" s="20">
        <v>43002</v>
      </c>
      <c r="K122" s="24">
        <v>8000</v>
      </c>
      <c r="L122">
        <f t="shared" si="7"/>
        <v>43092</v>
      </c>
      <c r="M122">
        <v>43616</v>
      </c>
    </row>
    <row r="123" spans="1:13" x14ac:dyDescent="0.25">
      <c r="A123" s="20">
        <v>42997</v>
      </c>
      <c r="B123" s="3">
        <v>1302102</v>
      </c>
      <c r="C123" s="20">
        <v>42999</v>
      </c>
      <c r="D123" s="21" t="s">
        <v>724</v>
      </c>
      <c r="E123" s="21" t="s">
        <v>725</v>
      </c>
      <c r="F123" s="21" t="s">
        <v>284</v>
      </c>
      <c r="G123" s="3" t="s">
        <v>321</v>
      </c>
      <c r="H123" s="22" t="s">
        <v>124</v>
      </c>
      <c r="I123" s="3">
        <v>931</v>
      </c>
      <c r="J123" s="20">
        <v>43013</v>
      </c>
      <c r="K123" s="24">
        <v>9000</v>
      </c>
      <c r="L123">
        <f t="shared" si="7"/>
        <v>43103</v>
      </c>
      <c r="M123">
        <v>43616</v>
      </c>
    </row>
    <row r="124" spans="1:13" x14ac:dyDescent="0.25">
      <c r="A124" s="20">
        <v>42997</v>
      </c>
      <c r="B124" s="3">
        <v>1302103</v>
      </c>
      <c r="C124" s="20">
        <v>42999</v>
      </c>
      <c r="D124" s="21" t="s">
        <v>726</v>
      </c>
      <c r="F124" s="21" t="s">
        <v>203</v>
      </c>
      <c r="G124" s="3" t="s">
        <v>205</v>
      </c>
      <c r="H124" s="22" t="s">
        <v>130</v>
      </c>
      <c r="I124" s="3">
        <v>933</v>
      </c>
      <c r="J124" s="20">
        <v>43020</v>
      </c>
      <c r="K124" s="24">
        <v>5000</v>
      </c>
      <c r="L124">
        <f t="shared" si="7"/>
        <v>43110</v>
      </c>
      <c r="M124">
        <v>43616</v>
      </c>
    </row>
    <row r="125" spans="1:13" x14ac:dyDescent="0.25">
      <c r="A125" s="20">
        <v>42997</v>
      </c>
      <c r="B125" s="3">
        <v>1302104</v>
      </c>
      <c r="C125" s="20">
        <v>42999</v>
      </c>
      <c r="D125" s="21" t="s">
        <v>727</v>
      </c>
      <c r="F125" s="21" t="s">
        <v>204</v>
      </c>
      <c r="G125" s="3" t="s">
        <v>205</v>
      </c>
      <c r="H125" s="22" t="s">
        <v>130</v>
      </c>
      <c r="I125" s="3">
        <v>934</v>
      </c>
      <c r="J125" s="20">
        <v>43020</v>
      </c>
      <c r="K125" s="24">
        <v>15000</v>
      </c>
      <c r="L125">
        <f t="shared" si="7"/>
        <v>43110</v>
      </c>
      <c r="M125">
        <v>43616</v>
      </c>
    </row>
    <row r="126" spans="1:13" x14ac:dyDescent="0.25">
      <c r="A126" s="20">
        <v>42997</v>
      </c>
      <c r="B126" s="3">
        <v>1302105</v>
      </c>
      <c r="C126" s="20">
        <v>43002</v>
      </c>
      <c r="D126" s="21" t="s">
        <v>728</v>
      </c>
      <c r="F126" s="21" t="s">
        <v>255</v>
      </c>
      <c r="G126" s="3" t="s">
        <v>286</v>
      </c>
      <c r="H126" s="22" t="s">
        <v>251</v>
      </c>
      <c r="I126" s="3">
        <v>935</v>
      </c>
      <c r="J126" s="20">
        <v>43021</v>
      </c>
      <c r="K126" s="24">
        <v>8000</v>
      </c>
      <c r="L126">
        <f t="shared" si="7"/>
        <v>43111</v>
      </c>
      <c r="M126">
        <v>43616</v>
      </c>
    </row>
    <row r="127" spans="1:13" x14ac:dyDescent="0.25">
      <c r="A127" s="20">
        <v>42997</v>
      </c>
      <c r="B127" s="3">
        <v>1302106</v>
      </c>
      <c r="C127" s="20">
        <v>43003</v>
      </c>
      <c r="D127" s="21" t="s">
        <v>729</v>
      </c>
      <c r="F127" s="21" t="s">
        <v>213</v>
      </c>
      <c r="G127" s="3" t="s">
        <v>246</v>
      </c>
      <c r="H127" s="22" t="s">
        <v>174</v>
      </c>
      <c r="I127" s="3">
        <v>932</v>
      </c>
      <c r="J127" s="20">
        <v>43017</v>
      </c>
      <c r="K127" s="24">
        <v>12000</v>
      </c>
      <c r="L127">
        <f t="shared" si="7"/>
        <v>43107</v>
      </c>
      <c r="M127">
        <v>43616</v>
      </c>
    </row>
    <row r="128" spans="1:13" x14ac:dyDescent="0.25">
      <c r="A128" s="20">
        <v>42997</v>
      </c>
      <c r="B128" s="3">
        <v>1302107</v>
      </c>
      <c r="C128" s="20">
        <v>43012</v>
      </c>
      <c r="D128" s="21" t="s">
        <v>730</v>
      </c>
      <c r="E128" s="21" t="s">
        <v>731</v>
      </c>
      <c r="F128" s="21" t="s">
        <v>284</v>
      </c>
      <c r="G128" s="3" t="s">
        <v>262</v>
      </c>
      <c r="H128" s="22" t="s">
        <v>131</v>
      </c>
      <c r="I128" s="3">
        <v>936</v>
      </c>
      <c r="J128" s="20">
        <v>43023</v>
      </c>
      <c r="K128" s="24">
        <v>9000</v>
      </c>
      <c r="L128">
        <f>J128+90</f>
        <v>43113</v>
      </c>
      <c r="M128">
        <v>43616</v>
      </c>
    </row>
    <row r="129" spans="1:13" x14ac:dyDescent="0.25">
      <c r="A129" s="20">
        <v>42997</v>
      </c>
      <c r="B129" s="3">
        <v>1302108</v>
      </c>
      <c r="C129" s="20">
        <v>43013</v>
      </c>
      <c r="D129" s="21" t="s">
        <v>732</v>
      </c>
      <c r="E129" s="21" t="s">
        <v>733</v>
      </c>
      <c r="F129" s="21" t="s">
        <v>284</v>
      </c>
      <c r="G129" s="3" t="s">
        <v>321</v>
      </c>
      <c r="H129" s="22" t="s">
        <v>124</v>
      </c>
      <c r="I129" s="3">
        <v>953</v>
      </c>
      <c r="J129" s="20">
        <v>43057</v>
      </c>
      <c r="K129" s="24">
        <v>9000</v>
      </c>
      <c r="L129">
        <f>J129+90</f>
        <v>43147</v>
      </c>
      <c r="M129">
        <v>43628</v>
      </c>
    </row>
    <row r="130" spans="1:13" x14ac:dyDescent="0.25">
      <c r="A130" s="20">
        <v>42997</v>
      </c>
      <c r="B130" s="3">
        <v>1302110</v>
      </c>
      <c r="C130" s="20">
        <v>43017</v>
      </c>
      <c r="D130" s="21" t="s">
        <v>734</v>
      </c>
      <c r="F130" s="21" t="s">
        <v>203</v>
      </c>
      <c r="G130" s="3" t="s">
        <v>246</v>
      </c>
      <c r="H130" s="22" t="s">
        <v>174</v>
      </c>
      <c r="I130" s="3">
        <v>939</v>
      </c>
      <c r="J130" s="20">
        <v>43033</v>
      </c>
      <c r="K130" s="24">
        <v>5000</v>
      </c>
      <c r="L130">
        <f t="shared" ref="L130:L157" si="8">J130+90</f>
        <v>43123</v>
      </c>
      <c r="M130">
        <v>43616</v>
      </c>
    </row>
    <row r="131" spans="1:13" x14ac:dyDescent="0.25">
      <c r="A131" s="20">
        <v>42997</v>
      </c>
      <c r="B131" s="3">
        <v>1302111</v>
      </c>
      <c r="C131" s="20">
        <v>43017</v>
      </c>
      <c r="D131" s="21" t="s">
        <v>735</v>
      </c>
      <c r="F131" s="21" t="s">
        <v>213</v>
      </c>
      <c r="G131" s="3" t="s">
        <v>246</v>
      </c>
      <c r="H131" s="22" t="s">
        <v>174</v>
      </c>
      <c r="I131" s="3">
        <v>940</v>
      </c>
      <c r="J131" s="20">
        <v>43033</v>
      </c>
      <c r="K131" s="24">
        <v>12000</v>
      </c>
      <c r="L131">
        <f t="shared" si="8"/>
        <v>43123</v>
      </c>
      <c r="M131">
        <v>43616</v>
      </c>
    </row>
    <row r="132" spans="1:13" x14ac:dyDescent="0.25">
      <c r="A132" s="20">
        <v>42997</v>
      </c>
      <c r="B132" s="3">
        <v>1302109</v>
      </c>
      <c r="C132" s="20">
        <v>43020</v>
      </c>
      <c r="D132" s="21" t="s">
        <v>736</v>
      </c>
      <c r="F132" s="21" t="s">
        <v>254</v>
      </c>
      <c r="G132" s="3" t="s">
        <v>205</v>
      </c>
      <c r="H132" s="22" t="s">
        <v>130</v>
      </c>
      <c r="I132" s="3">
        <v>941</v>
      </c>
      <c r="J132" s="20">
        <v>43039</v>
      </c>
      <c r="K132" s="24">
        <v>7500</v>
      </c>
      <c r="L132">
        <f t="shared" si="8"/>
        <v>43129</v>
      </c>
      <c r="M132">
        <v>43616</v>
      </c>
    </row>
    <row r="133" spans="1:13" x14ac:dyDescent="0.25">
      <c r="A133" s="20">
        <v>42997</v>
      </c>
      <c r="B133" s="3">
        <v>1302112</v>
      </c>
      <c r="C133" s="20">
        <v>43020</v>
      </c>
      <c r="D133" s="21" t="s">
        <v>737</v>
      </c>
      <c r="F133" s="21" t="s">
        <v>204</v>
      </c>
      <c r="G133" s="3" t="s">
        <v>205</v>
      </c>
      <c r="H133" s="22" t="s">
        <v>130</v>
      </c>
      <c r="I133" s="3">
        <v>942</v>
      </c>
      <c r="J133" s="20">
        <v>43039</v>
      </c>
      <c r="K133" s="24">
        <v>15000</v>
      </c>
      <c r="L133">
        <f t="shared" si="8"/>
        <v>43129</v>
      </c>
      <c r="M133">
        <v>43616</v>
      </c>
    </row>
    <row r="134" spans="1:13" x14ac:dyDescent="0.25">
      <c r="A134" s="20">
        <v>42997</v>
      </c>
      <c r="B134" s="3">
        <v>1302113</v>
      </c>
      <c r="C134" s="20">
        <v>43021</v>
      </c>
      <c r="D134" s="21" t="s">
        <v>738</v>
      </c>
      <c r="F134" s="21" t="s">
        <v>213</v>
      </c>
      <c r="G134" s="3" t="s">
        <v>286</v>
      </c>
      <c r="H134" s="22" t="s">
        <v>127</v>
      </c>
      <c r="I134" s="3">
        <v>937</v>
      </c>
      <c r="J134" s="20">
        <v>43028</v>
      </c>
      <c r="K134" s="24">
        <v>12000</v>
      </c>
      <c r="L134">
        <f t="shared" si="8"/>
        <v>43118</v>
      </c>
      <c r="M134">
        <v>43616</v>
      </c>
    </row>
    <row r="135" spans="1:13" x14ac:dyDescent="0.25">
      <c r="A135" s="20">
        <v>42997</v>
      </c>
      <c r="B135" s="3">
        <v>1302114</v>
      </c>
      <c r="C135" s="20">
        <v>43022</v>
      </c>
      <c r="D135" s="21" t="s">
        <v>739</v>
      </c>
      <c r="F135" s="21" t="s">
        <v>203</v>
      </c>
      <c r="G135" s="3" t="s">
        <v>315</v>
      </c>
      <c r="H135" s="22" t="s">
        <v>128</v>
      </c>
      <c r="I135" s="3">
        <v>943</v>
      </c>
      <c r="J135" s="20">
        <v>43043</v>
      </c>
      <c r="K135" s="24">
        <v>5000</v>
      </c>
      <c r="L135">
        <f t="shared" si="8"/>
        <v>43133</v>
      </c>
      <c r="M135">
        <v>43616</v>
      </c>
    </row>
    <row r="136" spans="1:13" x14ac:dyDescent="0.25">
      <c r="A136" s="20">
        <v>42997</v>
      </c>
      <c r="B136" s="3">
        <v>1302115</v>
      </c>
      <c r="C136" s="20">
        <v>43022</v>
      </c>
      <c r="D136" s="21" t="s">
        <v>740</v>
      </c>
      <c r="F136" s="21" t="s">
        <v>213</v>
      </c>
      <c r="G136" s="3" t="s">
        <v>315</v>
      </c>
      <c r="H136" s="22" t="s">
        <v>128</v>
      </c>
      <c r="I136" s="3">
        <v>944</v>
      </c>
      <c r="J136" s="20">
        <v>43043</v>
      </c>
      <c r="K136" s="24">
        <v>12000</v>
      </c>
      <c r="L136">
        <f t="shared" si="8"/>
        <v>43133</v>
      </c>
      <c r="M136">
        <v>43628</v>
      </c>
    </row>
    <row r="137" spans="1:13" x14ac:dyDescent="0.25">
      <c r="A137" s="20">
        <v>42997</v>
      </c>
      <c r="B137" s="3">
        <v>1302116</v>
      </c>
      <c r="C137" s="20">
        <v>43028</v>
      </c>
      <c r="D137" s="21" t="s">
        <v>741</v>
      </c>
      <c r="F137" s="21" t="s">
        <v>294</v>
      </c>
      <c r="G137" s="3" t="s">
        <v>286</v>
      </c>
      <c r="H137" s="22" t="s">
        <v>251</v>
      </c>
      <c r="I137" s="3">
        <v>938</v>
      </c>
      <c r="J137" s="20">
        <v>43032</v>
      </c>
      <c r="K137" s="24">
        <v>2500</v>
      </c>
      <c r="L137">
        <f t="shared" si="8"/>
        <v>43122</v>
      </c>
      <c r="M137">
        <v>43162</v>
      </c>
    </row>
    <row r="138" spans="1:13" x14ac:dyDescent="0.25">
      <c r="A138" s="20">
        <v>42997</v>
      </c>
      <c r="B138" s="3">
        <v>1302117</v>
      </c>
      <c r="C138" s="20">
        <v>43033</v>
      </c>
      <c r="D138" s="21" t="s">
        <v>742</v>
      </c>
      <c r="F138" s="21" t="s">
        <v>253</v>
      </c>
      <c r="G138" s="3" t="s">
        <v>286</v>
      </c>
      <c r="H138" s="22" t="s">
        <v>251</v>
      </c>
      <c r="I138" s="3">
        <v>945</v>
      </c>
      <c r="J138" s="20">
        <v>43044</v>
      </c>
      <c r="K138" s="24">
        <v>3500</v>
      </c>
      <c r="L138">
        <f t="shared" si="8"/>
        <v>43134</v>
      </c>
      <c r="M138">
        <v>43628</v>
      </c>
    </row>
    <row r="139" spans="1:13" x14ac:dyDescent="0.25">
      <c r="A139" s="20">
        <v>42997</v>
      </c>
      <c r="B139" s="3">
        <v>1302118</v>
      </c>
      <c r="C139" s="20">
        <v>43033</v>
      </c>
      <c r="D139" s="21" t="s">
        <v>743</v>
      </c>
      <c r="F139" s="21" t="s">
        <v>255</v>
      </c>
      <c r="G139" s="3" t="s">
        <v>286</v>
      </c>
      <c r="H139" s="22" t="s">
        <v>251</v>
      </c>
      <c r="I139" s="3">
        <v>946</v>
      </c>
      <c r="J139" s="20">
        <v>43044</v>
      </c>
      <c r="K139" s="24">
        <v>8000</v>
      </c>
      <c r="L139">
        <f t="shared" si="8"/>
        <v>43134</v>
      </c>
      <c r="M139">
        <v>43628</v>
      </c>
    </row>
    <row r="140" spans="1:13" x14ac:dyDescent="0.25">
      <c r="A140" s="20">
        <v>42997</v>
      </c>
      <c r="B140" s="3">
        <v>1302119</v>
      </c>
      <c r="C140" s="20">
        <v>43034</v>
      </c>
      <c r="D140" s="21" t="s">
        <v>744</v>
      </c>
      <c r="E140" s="21" t="s">
        <v>745</v>
      </c>
      <c r="F140" s="21" t="s">
        <v>284</v>
      </c>
      <c r="G140" s="3" t="s">
        <v>262</v>
      </c>
      <c r="H140" s="22" t="s">
        <v>131</v>
      </c>
      <c r="I140" s="3">
        <v>949</v>
      </c>
      <c r="J140" s="20">
        <v>43051</v>
      </c>
      <c r="K140" s="24">
        <v>9000</v>
      </c>
      <c r="L140">
        <f t="shared" si="8"/>
        <v>43141</v>
      </c>
      <c r="M140">
        <v>43628</v>
      </c>
    </row>
    <row r="141" spans="1:13" x14ac:dyDescent="0.25">
      <c r="A141" s="20">
        <v>42997</v>
      </c>
      <c r="B141" s="3">
        <v>1302120</v>
      </c>
      <c r="C141" s="20">
        <v>43039</v>
      </c>
      <c r="D141" s="21" t="s">
        <v>746</v>
      </c>
      <c r="F141" s="21" t="s">
        <v>254</v>
      </c>
      <c r="G141" s="3" t="s">
        <v>205</v>
      </c>
      <c r="H141" s="22" t="s">
        <v>130</v>
      </c>
      <c r="I141" s="3">
        <v>948</v>
      </c>
      <c r="J141" s="20">
        <v>43051</v>
      </c>
      <c r="K141" s="24">
        <v>7500</v>
      </c>
      <c r="L141">
        <f t="shared" si="8"/>
        <v>43141</v>
      </c>
      <c r="M141">
        <v>43628</v>
      </c>
    </row>
    <row r="142" spans="1:13" x14ac:dyDescent="0.25">
      <c r="A142" s="20">
        <v>42997</v>
      </c>
      <c r="B142" s="3">
        <v>1302121</v>
      </c>
      <c r="C142" s="20">
        <v>43039</v>
      </c>
      <c r="D142" s="21" t="s">
        <v>747</v>
      </c>
      <c r="E142" s="21" t="s">
        <v>748</v>
      </c>
      <c r="F142" s="21" t="s">
        <v>204</v>
      </c>
      <c r="G142" s="3" t="s">
        <v>205</v>
      </c>
      <c r="H142" s="22" t="s">
        <v>130</v>
      </c>
      <c r="I142" s="3">
        <v>956</v>
      </c>
      <c r="J142" s="20">
        <v>43063</v>
      </c>
      <c r="K142" s="24">
        <v>15000</v>
      </c>
      <c r="L142">
        <f t="shared" si="8"/>
        <v>43153</v>
      </c>
    </row>
    <row r="143" spans="1:13" x14ac:dyDescent="0.25">
      <c r="A143" s="20">
        <v>42997</v>
      </c>
      <c r="B143" s="3">
        <v>1302122</v>
      </c>
      <c r="C143" s="20">
        <v>43039</v>
      </c>
      <c r="D143" s="21" t="s">
        <v>749</v>
      </c>
      <c r="F143" s="21" t="s">
        <v>204</v>
      </c>
      <c r="G143" s="3" t="s">
        <v>246</v>
      </c>
      <c r="H143" s="22" t="s">
        <v>174</v>
      </c>
      <c r="I143" s="3">
        <v>950</v>
      </c>
      <c r="J143" s="20">
        <v>43053</v>
      </c>
      <c r="K143" s="24">
        <v>15000</v>
      </c>
      <c r="L143">
        <f t="shared" si="8"/>
        <v>43143</v>
      </c>
      <c r="M143">
        <v>43628</v>
      </c>
    </row>
    <row r="144" spans="1:13" x14ac:dyDescent="0.25">
      <c r="A144" s="20">
        <v>42997</v>
      </c>
      <c r="B144" s="3">
        <v>1302123</v>
      </c>
      <c r="C144" s="20">
        <v>43044</v>
      </c>
      <c r="D144" s="21" t="s">
        <v>750</v>
      </c>
      <c r="F144" s="21" t="s">
        <v>323</v>
      </c>
      <c r="G144" s="3" t="s">
        <v>286</v>
      </c>
      <c r="H144" s="22" t="s">
        <v>251</v>
      </c>
      <c r="I144" s="3">
        <v>947</v>
      </c>
      <c r="J144" s="20">
        <v>43047</v>
      </c>
      <c r="K144" s="24">
        <v>3500</v>
      </c>
      <c r="L144">
        <f t="shared" si="8"/>
        <v>43137</v>
      </c>
      <c r="M144">
        <v>43628</v>
      </c>
    </row>
    <row r="145" spans="1:13" x14ac:dyDescent="0.25">
      <c r="A145" s="20">
        <v>42997</v>
      </c>
      <c r="B145" s="3">
        <v>1302124</v>
      </c>
      <c r="C145" s="20">
        <v>43047</v>
      </c>
      <c r="D145" s="21" t="s">
        <v>751</v>
      </c>
      <c r="F145" s="21" t="s">
        <v>253</v>
      </c>
      <c r="G145" s="3" t="s">
        <v>286</v>
      </c>
      <c r="H145" s="22" t="s">
        <v>251</v>
      </c>
      <c r="I145" s="3">
        <v>951</v>
      </c>
      <c r="J145" s="20">
        <v>43054</v>
      </c>
      <c r="K145" s="24">
        <v>3500</v>
      </c>
      <c r="L145">
        <f t="shared" si="8"/>
        <v>43144</v>
      </c>
      <c r="M145">
        <v>43628</v>
      </c>
    </row>
    <row r="146" spans="1:13" x14ac:dyDescent="0.25">
      <c r="A146" s="20">
        <v>42997</v>
      </c>
      <c r="B146" s="3">
        <v>1302125</v>
      </c>
      <c r="C146" s="20">
        <v>43047</v>
      </c>
      <c r="D146" s="21" t="s">
        <v>752</v>
      </c>
      <c r="F146" s="21" t="s">
        <v>255</v>
      </c>
      <c r="G146" s="3" t="s">
        <v>286</v>
      </c>
      <c r="H146" s="22" t="s">
        <v>251</v>
      </c>
      <c r="I146" s="3">
        <v>952</v>
      </c>
      <c r="J146" s="20">
        <v>43054</v>
      </c>
      <c r="K146" s="24">
        <v>8000</v>
      </c>
      <c r="L146">
        <f t="shared" si="8"/>
        <v>43144</v>
      </c>
      <c r="M146">
        <v>43628</v>
      </c>
    </row>
    <row r="147" spans="1:13" x14ac:dyDescent="0.25">
      <c r="A147" s="20">
        <v>42997</v>
      </c>
      <c r="B147" s="3">
        <v>1302126</v>
      </c>
      <c r="C147" s="20">
        <v>43051</v>
      </c>
      <c r="D147" s="21" t="s">
        <v>753</v>
      </c>
      <c r="E147" s="21" t="s">
        <v>754</v>
      </c>
      <c r="F147" s="21" t="s">
        <v>284</v>
      </c>
      <c r="G147" s="3" t="s">
        <v>262</v>
      </c>
      <c r="H147" s="22" t="s">
        <v>131</v>
      </c>
      <c r="I147" s="3">
        <v>958</v>
      </c>
      <c r="J147" s="20">
        <v>43067</v>
      </c>
      <c r="K147" s="24">
        <v>9000</v>
      </c>
      <c r="L147">
        <f t="shared" si="8"/>
        <v>43157</v>
      </c>
    </row>
    <row r="148" spans="1:13" x14ac:dyDescent="0.25">
      <c r="A148" s="20">
        <v>42997</v>
      </c>
      <c r="B148" s="3">
        <v>1302127</v>
      </c>
      <c r="C148" s="20">
        <v>43051</v>
      </c>
      <c r="D148" s="21" t="s">
        <v>755</v>
      </c>
      <c r="E148" s="21" t="s">
        <v>756</v>
      </c>
      <c r="F148" s="21" t="s">
        <v>254</v>
      </c>
      <c r="G148" s="3" t="s">
        <v>205</v>
      </c>
      <c r="H148" s="22" t="s">
        <v>130</v>
      </c>
      <c r="I148" s="3">
        <v>961</v>
      </c>
      <c r="J148" s="20">
        <v>43081</v>
      </c>
      <c r="K148" s="24">
        <v>7500</v>
      </c>
      <c r="L148">
        <f t="shared" si="8"/>
        <v>43171</v>
      </c>
    </row>
    <row r="149" spans="1:13" x14ac:dyDescent="0.25">
      <c r="A149" s="20">
        <v>42997</v>
      </c>
      <c r="B149" s="3">
        <v>1302128</v>
      </c>
      <c r="C149" s="20">
        <v>43053</v>
      </c>
      <c r="D149" s="21" t="s">
        <v>757</v>
      </c>
      <c r="F149" s="21" t="s">
        <v>213</v>
      </c>
      <c r="G149" s="3" t="s">
        <v>246</v>
      </c>
      <c r="H149" s="22" t="s">
        <v>174</v>
      </c>
      <c r="I149" s="3">
        <v>955</v>
      </c>
      <c r="J149" s="20">
        <v>43062</v>
      </c>
      <c r="K149" s="24">
        <v>12000</v>
      </c>
      <c r="L149">
        <f t="shared" si="8"/>
        <v>43152</v>
      </c>
      <c r="M149">
        <v>43628</v>
      </c>
    </row>
    <row r="150" spans="1:13" x14ac:dyDescent="0.25">
      <c r="A150" s="20">
        <v>42997</v>
      </c>
      <c r="B150" s="3">
        <v>1302129</v>
      </c>
      <c r="C150" s="20">
        <v>43054</v>
      </c>
      <c r="D150" s="21" t="s">
        <v>758</v>
      </c>
      <c r="F150" s="21" t="s">
        <v>255</v>
      </c>
      <c r="G150" s="3" t="s">
        <v>286</v>
      </c>
      <c r="H150" s="22" t="s">
        <v>251</v>
      </c>
      <c r="I150" s="3">
        <v>954</v>
      </c>
      <c r="J150" s="20">
        <v>43058</v>
      </c>
      <c r="K150" s="24">
        <v>8000</v>
      </c>
      <c r="L150">
        <f t="shared" si="8"/>
        <v>43148</v>
      </c>
      <c r="M150">
        <v>43628</v>
      </c>
    </row>
    <row r="151" spans="1:13" x14ac:dyDescent="0.25">
      <c r="A151" s="20">
        <v>42997</v>
      </c>
      <c r="B151" s="3">
        <v>1302130</v>
      </c>
      <c r="C151" s="20">
        <v>43057</v>
      </c>
      <c r="D151" s="21" t="s">
        <v>759</v>
      </c>
      <c r="E151" s="21" t="s">
        <v>760</v>
      </c>
      <c r="F151" s="21" t="s">
        <v>212</v>
      </c>
      <c r="G151" s="3" t="s">
        <v>321</v>
      </c>
      <c r="H151" s="22" t="s">
        <v>124</v>
      </c>
      <c r="I151" s="3">
        <v>959</v>
      </c>
      <c r="J151" s="20">
        <v>43070</v>
      </c>
      <c r="K151" s="24">
        <v>9000</v>
      </c>
      <c r="L151">
        <f t="shared" si="8"/>
        <v>43160</v>
      </c>
    </row>
    <row r="152" spans="1:13" x14ac:dyDescent="0.25">
      <c r="A152" s="20">
        <v>42997</v>
      </c>
      <c r="B152" s="3">
        <v>1302131</v>
      </c>
      <c r="C152" s="20">
        <v>43058</v>
      </c>
      <c r="D152" s="21" t="s">
        <v>761</v>
      </c>
      <c r="E152" s="21" t="s">
        <v>762</v>
      </c>
      <c r="F152" s="21" t="s">
        <v>211</v>
      </c>
      <c r="G152" s="3" t="s">
        <v>286</v>
      </c>
      <c r="H152" s="22" t="s">
        <v>251</v>
      </c>
      <c r="I152" s="3">
        <v>957</v>
      </c>
      <c r="J152" s="20">
        <v>43066</v>
      </c>
      <c r="K152" s="24">
        <v>10000</v>
      </c>
      <c r="L152">
        <f t="shared" si="8"/>
        <v>43156</v>
      </c>
    </row>
    <row r="153" spans="1:13" x14ac:dyDescent="0.25">
      <c r="A153" s="20">
        <v>42997</v>
      </c>
      <c r="B153" s="3">
        <v>1302132</v>
      </c>
      <c r="C153" s="20">
        <v>43062</v>
      </c>
      <c r="D153" s="21" t="s">
        <v>763</v>
      </c>
      <c r="E153" s="21" t="s">
        <v>764</v>
      </c>
      <c r="F153" s="21" t="s">
        <v>203</v>
      </c>
      <c r="G153" s="3" t="s">
        <v>246</v>
      </c>
      <c r="H153" s="22" t="s">
        <v>174</v>
      </c>
      <c r="I153" s="3">
        <v>969</v>
      </c>
      <c r="J153" s="20">
        <v>43103</v>
      </c>
      <c r="K153" s="24">
        <v>5000</v>
      </c>
      <c r="L153">
        <f t="shared" si="8"/>
        <v>43193</v>
      </c>
    </row>
    <row r="154" spans="1:13" x14ac:dyDescent="0.25">
      <c r="A154" s="20">
        <v>42997</v>
      </c>
      <c r="B154" s="3">
        <v>1302133</v>
      </c>
      <c r="C154" s="20">
        <v>43063</v>
      </c>
      <c r="D154" s="21" t="s">
        <v>765</v>
      </c>
      <c r="F154" s="21" t="s">
        <v>204</v>
      </c>
      <c r="G154" s="3" t="s">
        <v>205</v>
      </c>
      <c r="H154" s="22" t="s">
        <v>130</v>
      </c>
      <c r="I154" s="3">
        <v>962</v>
      </c>
      <c r="J154" s="20">
        <v>43081</v>
      </c>
      <c r="K154" s="24">
        <v>15000</v>
      </c>
      <c r="L154">
        <f t="shared" si="8"/>
        <v>43171</v>
      </c>
    </row>
    <row r="155" spans="1:13" x14ac:dyDescent="0.25">
      <c r="A155" s="20">
        <v>42997</v>
      </c>
      <c r="B155" s="3">
        <v>1302134</v>
      </c>
      <c r="C155" s="20">
        <v>43069</v>
      </c>
      <c r="D155" s="21" t="s">
        <v>766</v>
      </c>
      <c r="F155" s="21" t="s">
        <v>255</v>
      </c>
      <c r="G155" s="3" t="s">
        <v>286</v>
      </c>
      <c r="H155" s="22" t="s">
        <v>251</v>
      </c>
      <c r="I155" s="3">
        <v>960</v>
      </c>
      <c r="J155" s="20">
        <v>43074</v>
      </c>
      <c r="K155" s="24">
        <v>8000</v>
      </c>
      <c r="L155">
        <f t="shared" si="8"/>
        <v>43164</v>
      </c>
    </row>
    <row r="156" spans="1:13" x14ac:dyDescent="0.25">
      <c r="A156" s="20">
        <v>42997</v>
      </c>
      <c r="B156" s="3">
        <v>1302135</v>
      </c>
      <c r="C156" s="20">
        <v>43069</v>
      </c>
      <c r="D156" s="21" t="s">
        <v>767</v>
      </c>
      <c r="E156" s="21" t="s">
        <v>768</v>
      </c>
      <c r="F156" s="21" t="s">
        <v>284</v>
      </c>
      <c r="G156" s="3" t="s">
        <v>262</v>
      </c>
      <c r="H156" s="22" t="s">
        <v>131</v>
      </c>
      <c r="I156" s="3">
        <v>966</v>
      </c>
      <c r="J156" s="20">
        <v>43091</v>
      </c>
      <c r="K156" s="24">
        <v>9000</v>
      </c>
      <c r="L156">
        <f t="shared" si="8"/>
        <v>43181</v>
      </c>
    </row>
    <row r="157" spans="1:13" x14ac:dyDescent="0.25">
      <c r="A157" s="20">
        <v>42997</v>
      </c>
      <c r="B157" s="3">
        <v>1302137</v>
      </c>
      <c r="C157" s="20">
        <v>43076</v>
      </c>
      <c r="D157" s="21" t="s">
        <v>769</v>
      </c>
      <c r="F157" s="21" t="s">
        <v>255</v>
      </c>
      <c r="G157" s="3" t="s">
        <v>286</v>
      </c>
      <c r="H157" s="22" t="s">
        <v>251</v>
      </c>
      <c r="I157" s="3">
        <v>963</v>
      </c>
      <c r="J157" s="20">
        <v>43085</v>
      </c>
      <c r="K157" s="24">
        <v>8000</v>
      </c>
      <c r="L157">
        <f t="shared" si="8"/>
        <v>43175</v>
      </c>
    </row>
    <row r="158" spans="1:13" x14ac:dyDescent="0.25">
      <c r="A158" s="20">
        <v>42997</v>
      </c>
      <c r="B158" s="3">
        <v>1302138</v>
      </c>
      <c r="C158" s="20">
        <v>43077</v>
      </c>
      <c r="D158" s="21" t="s">
        <v>770</v>
      </c>
      <c r="E158" s="21" t="s">
        <v>771</v>
      </c>
      <c r="F158" s="21" t="s">
        <v>284</v>
      </c>
      <c r="G158" s="3" t="s">
        <v>321</v>
      </c>
      <c r="H158" s="22" t="s">
        <v>124</v>
      </c>
      <c r="I158" s="3">
        <v>975</v>
      </c>
      <c r="J158" s="20">
        <v>43125</v>
      </c>
      <c r="K158" s="24">
        <v>9000</v>
      </c>
      <c r="L158">
        <f>J158+90</f>
        <v>43215</v>
      </c>
    </row>
    <row r="159" spans="1:13" x14ac:dyDescent="0.25">
      <c r="A159" s="20">
        <v>42997</v>
      </c>
      <c r="B159" s="3">
        <v>1302139</v>
      </c>
      <c r="C159" s="20">
        <v>43080</v>
      </c>
      <c r="D159" s="21" t="s">
        <v>772</v>
      </c>
      <c r="F159" s="21" t="s">
        <v>213</v>
      </c>
      <c r="G159" s="3" t="s">
        <v>246</v>
      </c>
      <c r="H159" s="22" t="s">
        <v>174</v>
      </c>
      <c r="I159" s="3">
        <v>970</v>
      </c>
      <c r="J159" s="20">
        <v>43103</v>
      </c>
      <c r="K159" s="24">
        <v>12000</v>
      </c>
      <c r="L159">
        <f t="shared" ref="L159:L164" si="9">J159+90</f>
        <v>43193</v>
      </c>
    </row>
    <row r="160" spans="1:13" x14ac:dyDescent="0.25">
      <c r="A160" s="20">
        <v>42997</v>
      </c>
      <c r="B160" s="3">
        <v>1302136</v>
      </c>
      <c r="C160" s="20">
        <v>43081</v>
      </c>
      <c r="D160" s="21" t="s">
        <v>773</v>
      </c>
      <c r="F160" s="21" t="s">
        <v>254</v>
      </c>
      <c r="G160" s="3" t="s">
        <v>205</v>
      </c>
      <c r="H160" s="22" t="s">
        <v>130</v>
      </c>
      <c r="I160" s="3">
        <v>968</v>
      </c>
      <c r="J160" s="20">
        <v>43096</v>
      </c>
      <c r="K160" s="24">
        <v>7500</v>
      </c>
      <c r="L160">
        <f t="shared" si="9"/>
        <v>43186</v>
      </c>
    </row>
    <row r="161" spans="1:13" x14ac:dyDescent="0.25">
      <c r="A161" s="20">
        <v>42997</v>
      </c>
      <c r="B161" s="3">
        <v>1302140</v>
      </c>
      <c r="C161" s="20">
        <v>43081</v>
      </c>
      <c r="D161" s="21" t="s">
        <v>774</v>
      </c>
      <c r="E161" s="21" t="s">
        <v>775</v>
      </c>
      <c r="F161" s="21" t="s">
        <v>204</v>
      </c>
      <c r="G161" s="3" t="s">
        <v>205</v>
      </c>
      <c r="H161" s="22" t="s">
        <v>130</v>
      </c>
      <c r="I161" s="3">
        <v>971</v>
      </c>
      <c r="J161" s="20">
        <v>43106</v>
      </c>
      <c r="K161" s="24">
        <v>15000</v>
      </c>
      <c r="L161">
        <f t="shared" si="9"/>
        <v>43196</v>
      </c>
    </row>
    <row r="162" spans="1:13" x14ac:dyDescent="0.25">
      <c r="A162" s="20">
        <v>42997</v>
      </c>
      <c r="B162" s="3">
        <v>1302141</v>
      </c>
      <c r="C162" s="20">
        <v>43085</v>
      </c>
      <c r="D162" s="21" t="s">
        <v>776</v>
      </c>
      <c r="F162" s="21" t="s">
        <v>253</v>
      </c>
      <c r="G162" s="3" t="s">
        <v>286</v>
      </c>
      <c r="H162" s="22" t="s">
        <v>251</v>
      </c>
      <c r="I162" s="3">
        <v>964</v>
      </c>
      <c r="J162" s="20">
        <v>43089</v>
      </c>
      <c r="K162" s="24">
        <v>3500</v>
      </c>
      <c r="L162">
        <f t="shared" si="9"/>
        <v>43179</v>
      </c>
    </row>
    <row r="163" spans="1:13" x14ac:dyDescent="0.25">
      <c r="A163" s="20">
        <v>42997</v>
      </c>
      <c r="B163" s="3">
        <v>1302142</v>
      </c>
      <c r="C163" s="20">
        <v>43085</v>
      </c>
      <c r="D163" s="21" t="s">
        <v>777</v>
      </c>
      <c r="F163" s="21" t="s">
        <v>255</v>
      </c>
      <c r="G163" s="3" t="s">
        <v>286</v>
      </c>
      <c r="H163" s="22" t="s">
        <v>251</v>
      </c>
      <c r="I163" s="3">
        <v>965</v>
      </c>
      <c r="J163" s="20">
        <v>43089</v>
      </c>
      <c r="K163" s="24">
        <v>8000</v>
      </c>
      <c r="L163">
        <f t="shared" si="9"/>
        <v>43179</v>
      </c>
    </row>
    <row r="164" spans="1:13" x14ac:dyDescent="0.25">
      <c r="A164" s="20">
        <v>42997</v>
      </c>
      <c r="B164" s="3">
        <v>1302143</v>
      </c>
      <c r="C164" s="20">
        <v>43089</v>
      </c>
      <c r="D164" s="21" t="s">
        <v>778</v>
      </c>
      <c r="F164" s="21" t="s">
        <v>257</v>
      </c>
      <c r="G164" s="3" t="s">
        <v>286</v>
      </c>
      <c r="H164" s="22" t="s">
        <v>251</v>
      </c>
      <c r="I164" s="3">
        <v>967</v>
      </c>
      <c r="J164" s="20">
        <v>43096</v>
      </c>
      <c r="K164" s="24">
        <v>2500</v>
      </c>
      <c r="L164">
        <f t="shared" si="9"/>
        <v>43186</v>
      </c>
      <c r="M164">
        <v>43175</v>
      </c>
    </row>
    <row r="165" spans="1:13" x14ac:dyDescent="0.25">
      <c r="A165" s="20">
        <v>42997</v>
      </c>
      <c r="B165" s="3">
        <v>1302144</v>
      </c>
      <c r="C165" s="20">
        <v>43091</v>
      </c>
      <c r="D165" s="21" t="s">
        <v>779</v>
      </c>
      <c r="F165" s="21" t="s">
        <v>213</v>
      </c>
      <c r="G165" s="3" t="s">
        <v>202</v>
      </c>
      <c r="H165" s="22" t="s">
        <v>512</v>
      </c>
      <c r="I165" s="3">
        <v>1035</v>
      </c>
      <c r="J165" s="20">
        <v>43381</v>
      </c>
      <c r="K165" s="24">
        <v>12000</v>
      </c>
      <c r="L165">
        <f>J165+90</f>
        <v>43471</v>
      </c>
    </row>
    <row r="166" spans="1:13" x14ac:dyDescent="0.25">
      <c r="A166" s="20">
        <v>42997</v>
      </c>
      <c r="B166" s="3">
        <v>1302145</v>
      </c>
      <c r="C166" s="20">
        <v>43096</v>
      </c>
      <c r="D166" s="21" t="s">
        <v>780</v>
      </c>
      <c r="E166" s="21" t="s">
        <v>781</v>
      </c>
      <c r="F166" s="21" t="s">
        <v>284</v>
      </c>
      <c r="G166" s="3" t="s">
        <v>262</v>
      </c>
      <c r="H166" s="22" t="s">
        <v>131</v>
      </c>
      <c r="I166" s="3">
        <v>972</v>
      </c>
      <c r="J166" s="20">
        <v>43116</v>
      </c>
      <c r="K166" s="24">
        <v>9000</v>
      </c>
      <c r="L166">
        <f t="shared" ref="L166:L179" si="10">J166+90</f>
        <v>43206</v>
      </c>
    </row>
    <row r="167" spans="1:13" x14ac:dyDescent="0.25">
      <c r="A167" s="20">
        <v>42997</v>
      </c>
      <c r="B167" s="3">
        <v>1302146</v>
      </c>
      <c r="C167" s="20">
        <v>43096</v>
      </c>
      <c r="D167" s="21" t="s">
        <v>782</v>
      </c>
      <c r="E167" s="21" t="s">
        <v>783</v>
      </c>
      <c r="F167" s="21" t="s">
        <v>254</v>
      </c>
      <c r="G167" s="3" t="s">
        <v>205</v>
      </c>
      <c r="H167" s="22" t="s">
        <v>130</v>
      </c>
      <c r="I167" s="3">
        <v>973</v>
      </c>
      <c r="J167" s="20">
        <v>43120</v>
      </c>
      <c r="K167" s="24">
        <v>7500</v>
      </c>
      <c r="L167">
        <f t="shared" si="10"/>
        <v>43210</v>
      </c>
    </row>
    <row r="168" spans="1:13" x14ac:dyDescent="0.25">
      <c r="A168" s="20">
        <v>42997</v>
      </c>
      <c r="B168" s="3">
        <v>1302147</v>
      </c>
      <c r="C168" s="20">
        <v>43106</v>
      </c>
      <c r="D168" s="21" t="s">
        <v>784</v>
      </c>
      <c r="E168" s="21" t="s">
        <v>785</v>
      </c>
      <c r="F168" s="21" t="s">
        <v>204</v>
      </c>
      <c r="G168" s="3" t="s">
        <v>205</v>
      </c>
      <c r="H168" s="22" t="s">
        <v>130</v>
      </c>
      <c r="I168" s="3">
        <v>978</v>
      </c>
      <c r="J168" s="20">
        <v>43128</v>
      </c>
      <c r="K168" s="24">
        <v>15000</v>
      </c>
      <c r="L168">
        <f t="shared" si="10"/>
        <v>43218</v>
      </c>
    </row>
    <row r="169" spans="1:13" x14ac:dyDescent="0.25">
      <c r="A169" s="20">
        <v>42997</v>
      </c>
      <c r="B169" s="3">
        <v>1302148</v>
      </c>
      <c r="C169" s="20">
        <v>43112</v>
      </c>
      <c r="D169" s="21" t="s">
        <v>786</v>
      </c>
      <c r="F169" s="21" t="s">
        <v>203</v>
      </c>
      <c r="G169" s="3" t="s">
        <v>246</v>
      </c>
      <c r="H169" s="22" t="s">
        <v>174</v>
      </c>
      <c r="I169" s="3">
        <v>981</v>
      </c>
      <c r="J169" s="20">
        <v>43138</v>
      </c>
      <c r="K169" s="24">
        <v>5000</v>
      </c>
      <c r="L169">
        <f t="shared" si="10"/>
        <v>43228</v>
      </c>
    </row>
    <row r="170" spans="1:13" x14ac:dyDescent="0.25">
      <c r="A170" s="20">
        <v>42997</v>
      </c>
      <c r="B170" s="3">
        <v>1302149</v>
      </c>
      <c r="C170" s="20">
        <v>43112</v>
      </c>
      <c r="D170" s="21" t="s">
        <v>787</v>
      </c>
      <c r="F170" s="21" t="s">
        <v>213</v>
      </c>
      <c r="G170" s="3" t="s">
        <v>246</v>
      </c>
      <c r="H170" s="22" t="s">
        <v>174</v>
      </c>
      <c r="I170" s="3">
        <v>982</v>
      </c>
      <c r="J170" s="20">
        <v>43138</v>
      </c>
      <c r="K170" s="24">
        <v>12000</v>
      </c>
      <c r="L170">
        <f t="shared" si="10"/>
        <v>43228</v>
      </c>
    </row>
    <row r="171" spans="1:13" x14ac:dyDescent="0.25">
      <c r="A171" s="20">
        <v>42997</v>
      </c>
      <c r="B171" s="3">
        <v>1302150</v>
      </c>
      <c r="C171" s="20">
        <v>43116</v>
      </c>
      <c r="D171" s="21" t="s">
        <v>788</v>
      </c>
      <c r="F171" s="21" t="s">
        <v>253</v>
      </c>
      <c r="G171" s="3" t="s">
        <v>286</v>
      </c>
      <c r="H171" s="22" t="s">
        <v>251</v>
      </c>
      <c r="I171" s="3">
        <v>976</v>
      </c>
      <c r="J171" s="20">
        <v>43126</v>
      </c>
      <c r="K171" s="24">
        <v>3500</v>
      </c>
      <c r="L171">
        <f t="shared" si="10"/>
        <v>43216</v>
      </c>
    </row>
    <row r="172" spans="1:13" x14ac:dyDescent="0.25">
      <c r="A172" s="20">
        <v>43116</v>
      </c>
      <c r="B172" s="3">
        <v>1338390</v>
      </c>
      <c r="C172" s="20">
        <v>43116</v>
      </c>
      <c r="D172" s="21" t="s">
        <v>789</v>
      </c>
      <c r="F172" s="21" t="s">
        <v>255</v>
      </c>
      <c r="G172" s="3" t="s">
        <v>286</v>
      </c>
      <c r="H172" s="22" t="s">
        <v>251</v>
      </c>
      <c r="I172" s="3">
        <v>977</v>
      </c>
      <c r="J172" s="20">
        <v>43126</v>
      </c>
      <c r="K172" s="24">
        <v>8000</v>
      </c>
      <c r="L172">
        <f t="shared" si="10"/>
        <v>43216</v>
      </c>
    </row>
    <row r="173" spans="1:13" x14ac:dyDescent="0.25">
      <c r="A173" s="20">
        <v>43116</v>
      </c>
      <c r="B173" s="3">
        <v>1338391</v>
      </c>
      <c r="C173" s="20">
        <v>43117</v>
      </c>
      <c r="D173" s="21" t="s">
        <v>790</v>
      </c>
      <c r="F173" s="21" t="s">
        <v>212</v>
      </c>
      <c r="G173" s="3" t="s">
        <v>262</v>
      </c>
      <c r="H173" s="22" t="s">
        <v>131</v>
      </c>
      <c r="I173" s="3">
        <v>974</v>
      </c>
      <c r="J173" s="20">
        <v>43125</v>
      </c>
      <c r="K173" s="24">
        <v>9000</v>
      </c>
      <c r="L173">
        <f t="shared" si="10"/>
        <v>43215</v>
      </c>
    </row>
    <row r="174" spans="1:13" x14ac:dyDescent="0.25">
      <c r="A174" s="20">
        <v>43116</v>
      </c>
      <c r="B174" s="3">
        <v>1338392</v>
      </c>
      <c r="C174" s="20">
        <v>43120</v>
      </c>
      <c r="D174" s="21" t="s">
        <v>791</v>
      </c>
      <c r="E174" s="21" t="s">
        <v>792</v>
      </c>
      <c r="F174" s="21" t="s">
        <v>254</v>
      </c>
      <c r="G174" s="3" t="s">
        <v>205</v>
      </c>
      <c r="H174" s="22" t="s">
        <v>130</v>
      </c>
      <c r="I174" s="3">
        <v>980</v>
      </c>
      <c r="J174" s="20">
        <v>43135</v>
      </c>
      <c r="K174" s="24">
        <v>7500</v>
      </c>
      <c r="L174">
        <f t="shared" si="10"/>
        <v>43225</v>
      </c>
    </row>
    <row r="175" spans="1:13" x14ac:dyDescent="0.25">
      <c r="A175" s="20">
        <v>43116</v>
      </c>
      <c r="B175" s="3">
        <v>1338393</v>
      </c>
      <c r="C175" s="20">
        <v>43125</v>
      </c>
      <c r="D175" s="21" t="s">
        <v>793</v>
      </c>
      <c r="E175" s="21" t="s">
        <v>794</v>
      </c>
      <c r="F175" s="21" t="s">
        <v>284</v>
      </c>
      <c r="G175" s="3" t="s">
        <v>262</v>
      </c>
      <c r="H175" s="22" t="s">
        <v>131</v>
      </c>
      <c r="I175" s="3">
        <v>990</v>
      </c>
      <c r="J175" s="20">
        <v>43158</v>
      </c>
      <c r="K175" s="24">
        <v>9000</v>
      </c>
      <c r="L175">
        <f t="shared" si="10"/>
        <v>43248</v>
      </c>
    </row>
    <row r="176" spans="1:13" x14ac:dyDescent="0.25">
      <c r="A176" s="20">
        <v>43116</v>
      </c>
      <c r="B176" s="3">
        <v>1338394</v>
      </c>
      <c r="C176" s="20">
        <v>43125</v>
      </c>
      <c r="D176" s="21" t="s">
        <v>795</v>
      </c>
      <c r="E176" s="21" t="s">
        <v>796</v>
      </c>
      <c r="F176" s="21" t="s">
        <v>284</v>
      </c>
      <c r="G176" s="3" t="s">
        <v>321</v>
      </c>
      <c r="H176" s="22" t="s">
        <v>124</v>
      </c>
      <c r="I176" s="3">
        <v>988</v>
      </c>
      <c r="J176" s="20">
        <v>43153</v>
      </c>
      <c r="K176" s="24">
        <v>9000</v>
      </c>
      <c r="L176">
        <f t="shared" si="10"/>
        <v>43243</v>
      </c>
    </row>
    <row r="177" spans="1:12" x14ac:dyDescent="0.25">
      <c r="A177" s="20">
        <v>43116</v>
      </c>
      <c r="B177" s="3">
        <v>1338396</v>
      </c>
      <c r="C177" s="20">
        <v>43128</v>
      </c>
      <c r="D177" s="21" t="s">
        <v>797</v>
      </c>
      <c r="E177" s="21" t="s">
        <v>798</v>
      </c>
      <c r="F177" s="21" t="s">
        <v>204</v>
      </c>
      <c r="G177" s="3" t="s">
        <v>205</v>
      </c>
      <c r="H177" s="22" t="s">
        <v>130</v>
      </c>
      <c r="I177" s="3">
        <v>984</v>
      </c>
      <c r="J177" s="20">
        <v>43147</v>
      </c>
      <c r="K177" s="24">
        <v>15000</v>
      </c>
      <c r="L177">
        <f t="shared" si="10"/>
        <v>43237</v>
      </c>
    </row>
    <row r="178" spans="1:12" x14ac:dyDescent="0.25">
      <c r="A178" s="20">
        <v>43116</v>
      </c>
      <c r="B178" s="3">
        <v>1338397</v>
      </c>
      <c r="C178" s="20">
        <v>43129</v>
      </c>
      <c r="D178" s="21" t="s">
        <v>799</v>
      </c>
      <c r="F178" s="21" t="s">
        <v>253</v>
      </c>
      <c r="G178" s="3" t="s">
        <v>286</v>
      </c>
      <c r="H178" s="22" t="s">
        <v>251</v>
      </c>
      <c r="I178" s="3">
        <v>983</v>
      </c>
      <c r="J178" s="20">
        <v>43146</v>
      </c>
      <c r="K178" s="24">
        <v>3500</v>
      </c>
      <c r="L178">
        <f t="shared" si="10"/>
        <v>43236</v>
      </c>
    </row>
    <row r="179" spans="1:12" x14ac:dyDescent="0.25">
      <c r="A179" s="20">
        <v>43116</v>
      </c>
      <c r="B179" s="3">
        <v>1338398</v>
      </c>
      <c r="C179" s="20">
        <v>43129</v>
      </c>
      <c r="D179" s="21" t="s">
        <v>800</v>
      </c>
      <c r="E179" s="21" t="s">
        <v>801</v>
      </c>
      <c r="F179" s="21" t="s">
        <v>255</v>
      </c>
      <c r="G179" s="3" t="s">
        <v>286</v>
      </c>
      <c r="H179" s="22" t="s">
        <v>251</v>
      </c>
      <c r="I179" s="3">
        <v>985</v>
      </c>
      <c r="J179" s="20">
        <v>43150</v>
      </c>
      <c r="K179" s="24">
        <v>8000</v>
      </c>
      <c r="L179">
        <f t="shared" si="10"/>
        <v>43240</v>
      </c>
    </row>
    <row r="180" spans="1:12" x14ac:dyDescent="0.25">
      <c r="A180" s="20">
        <v>43116</v>
      </c>
      <c r="B180" s="3">
        <v>1338399</v>
      </c>
      <c r="C180" s="20">
        <v>43135</v>
      </c>
      <c r="D180" s="21" t="s">
        <v>802</v>
      </c>
      <c r="E180" s="21" t="s">
        <v>803</v>
      </c>
      <c r="F180" s="21" t="s">
        <v>254</v>
      </c>
      <c r="G180" s="3" t="s">
        <v>205</v>
      </c>
      <c r="H180" s="22" t="s">
        <v>130</v>
      </c>
      <c r="I180" s="3">
        <v>1036</v>
      </c>
      <c r="J180" s="20">
        <v>43381</v>
      </c>
      <c r="K180" s="24">
        <v>7500</v>
      </c>
      <c r="L180">
        <f>J180+90</f>
        <v>43471</v>
      </c>
    </row>
    <row r="181" spans="1:12" x14ac:dyDescent="0.25">
      <c r="A181" s="20">
        <v>43128</v>
      </c>
      <c r="B181" s="3">
        <v>1364052</v>
      </c>
      <c r="C181" s="20">
        <v>43147</v>
      </c>
      <c r="D181" s="21" t="s">
        <v>804</v>
      </c>
      <c r="F181" s="21" t="s">
        <v>213</v>
      </c>
      <c r="G181" s="3" t="s">
        <v>205</v>
      </c>
      <c r="H181" s="22" t="s">
        <v>130</v>
      </c>
      <c r="I181" s="3">
        <v>1037</v>
      </c>
      <c r="J181" s="20">
        <v>43381</v>
      </c>
      <c r="K181" s="24">
        <v>12000</v>
      </c>
      <c r="L181">
        <f>J181+90</f>
        <v>43471</v>
      </c>
    </row>
    <row r="182" spans="1:12" x14ac:dyDescent="0.25">
      <c r="A182" s="20">
        <v>43128</v>
      </c>
      <c r="B182" s="3">
        <v>1364053</v>
      </c>
      <c r="C182" s="20">
        <v>43148</v>
      </c>
      <c r="D182" s="21" t="s">
        <v>805</v>
      </c>
      <c r="F182" s="21" t="s">
        <v>203</v>
      </c>
      <c r="G182" s="3" t="s">
        <v>315</v>
      </c>
      <c r="H182" s="22" t="s">
        <v>595</v>
      </c>
      <c r="I182" s="3">
        <v>994</v>
      </c>
      <c r="J182" s="20">
        <v>43172</v>
      </c>
      <c r="K182" s="24">
        <v>5000</v>
      </c>
      <c r="L182">
        <f t="shared" ref="L182:L189" si="11">J182+90</f>
        <v>43262</v>
      </c>
    </row>
    <row r="183" spans="1:12" x14ac:dyDescent="0.25">
      <c r="A183" s="20">
        <v>43128</v>
      </c>
      <c r="B183" s="3">
        <v>1364054</v>
      </c>
      <c r="C183" s="20">
        <v>43148</v>
      </c>
      <c r="D183" s="21" t="s">
        <v>806</v>
      </c>
      <c r="F183" s="21" t="s">
        <v>213</v>
      </c>
      <c r="G183" s="3" t="s">
        <v>315</v>
      </c>
      <c r="H183" s="22" t="s">
        <v>595</v>
      </c>
      <c r="I183" s="3">
        <v>995</v>
      </c>
      <c r="J183" s="20">
        <v>43172</v>
      </c>
      <c r="K183" s="24">
        <v>12000</v>
      </c>
      <c r="L183">
        <f t="shared" si="11"/>
        <v>43262</v>
      </c>
    </row>
    <row r="184" spans="1:12" x14ac:dyDescent="0.25">
      <c r="A184" s="20">
        <v>43128</v>
      </c>
      <c r="B184" s="3">
        <v>1364051</v>
      </c>
      <c r="C184" s="20">
        <v>43150</v>
      </c>
      <c r="D184" s="21" t="s">
        <v>807</v>
      </c>
      <c r="F184" s="21" t="s">
        <v>257</v>
      </c>
      <c r="G184" s="3" t="s">
        <v>286</v>
      </c>
      <c r="H184" s="22" t="s">
        <v>251</v>
      </c>
      <c r="I184" s="3">
        <v>987</v>
      </c>
      <c r="J184" s="20">
        <v>43150</v>
      </c>
      <c r="K184" s="24">
        <v>2500</v>
      </c>
      <c r="L184">
        <f t="shared" si="11"/>
        <v>43240</v>
      </c>
    </row>
    <row r="185" spans="1:12" x14ac:dyDescent="0.25">
      <c r="A185" s="20">
        <v>43128</v>
      </c>
      <c r="B185" s="3">
        <v>1364055</v>
      </c>
      <c r="C185" s="20">
        <v>43150</v>
      </c>
      <c r="D185" s="21" t="s">
        <v>808</v>
      </c>
      <c r="F185" s="21" t="s">
        <v>255</v>
      </c>
      <c r="G185" s="3" t="s">
        <v>286</v>
      </c>
      <c r="H185" s="22" t="s">
        <v>251</v>
      </c>
      <c r="I185" s="3">
        <v>989</v>
      </c>
      <c r="J185" s="20">
        <v>43157</v>
      </c>
      <c r="K185" s="24">
        <v>8000</v>
      </c>
      <c r="L185">
        <f t="shared" si="11"/>
        <v>43247</v>
      </c>
    </row>
    <row r="186" spans="1:12" x14ac:dyDescent="0.25">
      <c r="A186" s="20">
        <v>43128</v>
      </c>
      <c r="B186" s="3">
        <v>1364056</v>
      </c>
      <c r="C186" s="20">
        <v>43153</v>
      </c>
      <c r="D186" s="21" t="s">
        <v>809</v>
      </c>
      <c r="F186" s="21" t="s">
        <v>810</v>
      </c>
      <c r="G186" s="3" t="s">
        <v>321</v>
      </c>
      <c r="H186" s="22" t="s">
        <v>124</v>
      </c>
      <c r="I186" s="3">
        <v>991</v>
      </c>
      <c r="J186" s="20">
        <v>43162</v>
      </c>
      <c r="K186" s="24">
        <v>5000</v>
      </c>
      <c r="L186">
        <f t="shared" si="11"/>
        <v>43252</v>
      </c>
    </row>
    <row r="187" spans="1:12" x14ac:dyDescent="0.25">
      <c r="A187" s="20">
        <v>43128</v>
      </c>
      <c r="B187" s="3">
        <v>1364057</v>
      </c>
      <c r="C187" s="20">
        <v>43157</v>
      </c>
      <c r="D187" s="21" t="s">
        <v>811</v>
      </c>
      <c r="E187" s="21" t="s">
        <v>812</v>
      </c>
      <c r="F187" s="21" t="s">
        <v>211</v>
      </c>
      <c r="G187" s="3" t="s">
        <v>286</v>
      </c>
      <c r="H187" s="22" t="s">
        <v>251</v>
      </c>
      <c r="I187" s="3">
        <v>996</v>
      </c>
      <c r="J187" s="20">
        <v>43178</v>
      </c>
      <c r="K187" s="24">
        <v>10000</v>
      </c>
      <c r="L187">
        <f t="shared" si="11"/>
        <v>43268</v>
      </c>
    </row>
    <row r="188" spans="1:12" x14ac:dyDescent="0.25">
      <c r="A188" s="20">
        <v>43128</v>
      </c>
      <c r="B188" s="3">
        <v>1364058</v>
      </c>
      <c r="C188" s="20">
        <v>43158</v>
      </c>
      <c r="D188" s="21" t="s">
        <v>813</v>
      </c>
      <c r="F188" s="21" t="s">
        <v>810</v>
      </c>
      <c r="G188" s="3" t="s">
        <v>262</v>
      </c>
      <c r="H188" s="22" t="s">
        <v>131</v>
      </c>
      <c r="I188" s="3">
        <v>992</v>
      </c>
      <c r="J188" s="20">
        <v>43165</v>
      </c>
      <c r="K188" s="24">
        <v>5000</v>
      </c>
      <c r="L188">
        <f t="shared" si="11"/>
        <v>43255</v>
      </c>
    </row>
    <row r="189" spans="1:12" x14ac:dyDescent="0.25">
      <c r="A189" s="20">
        <v>43128</v>
      </c>
      <c r="B189" s="3">
        <v>1364059</v>
      </c>
      <c r="C189" s="20">
        <v>43162</v>
      </c>
      <c r="D189" s="21" t="s">
        <v>814</v>
      </c>
      <c r="F189" s="21" t="s">
        <v>810</v>
      </c>
      <c r="G189" s="3" t="s">
        <v>321</v>
      </c>
      <c r="H189" s="22" t="s">
        <v>124</v>
      </c>
      <c r="I189" s="3">
        <v>993</v>
      </c>
      <c r="J189" s="20">
        <v>43168</v>
      </c>
      <c r="K189" s="24">
        <v>5000</v>
      </c>
      <c r="L189">
        <f t="shared" si="11"/>
        <v>43258</v>
      </c>
    </row>
    <row r="190" spans="1:12" x14ac:dyDescent="0.25">
      <c r="A190" s="20">
        <v>43128</v>
      </c>
      <c r="B190" s="3">
        <v>1364060</v>
      </c>
      <c r="C190" s="20">
        <v>43168</v>
      </c>
      <c r="D190" s="21" t="s">
        <v>815</v>
      </c>
      <c r="E190" s="21" t="s">
        <v>816</v>
      </c>
      <c r="F190" s="21" t="s">
        <v>212</v>
      </c>
      <c r="G190" s="3" t="s">
        <v>321</v>
      </c>
      <c r="H190" s="22" t="s">
        <v>124</v>
      </c>
      <c r="I190" s="3">
        <v>1000</v>
      </c>
      <c r="J190" s="20">
        <v>43200</v>
      </c>
      <c r="K190" s="24">
        <v>9000</v>
      </c>
      <c r="L190">
        <f>J190+90</f>
        <v>43290</v>
      </c>
    </row>
    <row r="191" spans="1:12" x14ac:dyDescent="0.25">
      <c r="A191" s="20">
        <v>43128</v>
      </c>
      <c r="B191" s="3">
        <v>1364061</v>
      </c>
      <c r="C191" s="20">
        <v>43169</v>
      </c>
      <c r="D191" s="21" t="s">
        <v>817</v>
      </c>
      <c r="E191" s="21" t="s">
        <v>818</v>
      </c>
      <c r="F191" s="21" t="s">
        <v>212</v>
      </c>
      <c r="G191" s="3" t="s">
        <v>262</v>
      </c>
      <c r="H191" s="22" t="s">
        <v>131</v>
      </c>
      <c r="I191" s="3">
        <v>1014</v>
      </c>
      <c r="J191" s="20">
        <v>43248</v>
      </c>
      <c r="K191" s="24">
        <v>9000</v>
      </c>
      <c r="L191">
        <f>J191+90</f>
        <v>43338</v>
      </c>
    </row>
    <row r="192" spans="1:12" x14ac:dyDescent="0.25">
      <c r="A192" s="20">
        <v>43128</v>
      </c>
      <c r="B192" s="3">
        <v>1364062</v>
      </c>
      <c r="C192" s="20">
        <v>43171</v>
      </c>
      <c r="D192" s="21" t="s">
        <v>819</v>
      </c>
      <c r="F192" s="21" t="s">
        <v>294</v>
      </c>
      <c r="G192" s="3" t="s">
        <v>286</v>
      </c>
      <c r="H192" s="22" t="s">
        <v>251</v>
      </c>
      <c r="I192" s="3">
        <v>997</v>
      </c>
      <c r="J192" s="20">
        <v>43178</v>
      </c>
      <c r="K192" s="24">
        <v>2500</v>
      </c>
      <c r="L192">
        <f t="shared" ref="L192:L216" si="12">J192+90</f>
        <v>43268</v>
      </c>
    </row>
    <row r="193" spans="1:12" x14ac:dyDescent="0.25">
      <c r="A193" s="20">
        <v>43128</v>
      </c>
      <c r="B193" s="3">
        <v>1364063</v>
      </c>
      <c r="C193" s="20">
        <v>43178</v>
      </c>
      <c r="D193" s="21" t="s">
        <v>820</v>
      </c>
      <c r="F193" s="21" t="s">
        <v>253</v>
      </c>
      <c r="G193" s="3" t="s">
        <v>286</v>
      </c>
      <c r="H193" s="22" t="s">
        <v>251</v>
      </c>
      <c r="I193" s="3">
        <v>998</v>
      </c>
      <c r="J193" s="20">
        <v>43199</v>
      </c>
      <c r="K193" s="24">
        <v>3500</v>
      </c>
      <c r="L193">
        <f t="shared" si="12"/>
        <v>43289</v>
      </c>
    </row>
    <row r="194" spans="1:12" x14ac:dyDescent="0.25">
      <c r="A194" s="20">
        <v>43128</v>
      </c>
      <c r="B194" s="3">
        <v>1364072</v>
      </c>
      <c r="C194" s="20">
        <v>43178</v>
      </c>
      <c r="D194" s="21" t="s">
        <v>821</v>
      </c>
      <c r="F194" s="21" t="s">
        <v>255</v>
      </c>
      <c r="G194" s="3" t="s">
        <v>286</v>
      </c>
      <c r="H194" s="22" t="s">
        <v>251</v>
      </c>
      <c r="I194" s="3">
        <v>999</v>
      </c>
      <c r="J194" s="20">
        <v>43199</v>
      </c>
      <c r="K194" s="24">
        <v>8000</v>
      </c>
      <c r="L194">
        <f t="shared" si="12"/>
        <v>43289</v>
      </c>
    </row>
    <row r="195" spans="1:12" x14ac:dyDescent="0.25">
      <c r="A195" s="20">
        <v>43128</v>
      </c>
      <c r="B195" s="3">
        <v>1364065</v>
      </c>
      <c r="C195" s="20">
        <v>43199</v>
      </c>
      <c r="D195" s="21" t="s">
        <v>822</v>
      </c>
      <c r="F195" s="21" t="s">
        <v>253</v>
      </c>
      <c r="G195" s="3" t="s">
        <v>286</v>
      </c>
      <c r="H195" s="22" t="s">
        <v>251</v>
      </c>
      <c r="I195" s="3">
        <v>1001</v>
      </c>
      <c r="J195" s="20">
        <v>43216</v>
      </c>
      <c r="K195" s="24">
        <v>3500</v>
      </c>
      <c r="L195">
        <f t="shared" si="12"/>
        <v>43306</v>
      </c>
    </row>
    <row r="196" spans="1:12" x14ac:dyDescent="0.25">
      <c r="A196" s="20">
        <v>43128</v>
      </c>
      <c r="B196" s="3">
        <v>1364066</v>
      </c>
      <c r="C196" s="20">
        <v>43199</v>
      </c>
      <c r="D196" s="21" t="s">
        <v>823</v>
      </c>
      <c r="F196" s="21" t="s">
        <v>255</v>
      </c>
      <c r="G196" s="3" t="s">
        <v>286</v>
      </c>
      <c r="H196" s="22" t="s">
        <v>251</v>
      </c>
      <c r="I196" s="3">
        <v>1002</v>
      </c>
      <c r="J196" s="20">
        <v>43216</v>
      </c>
      <c r="K196" s="24">
        <v>8000</v>
      </c>
      <c r="L196">
        <f t="shared" si="12"/>
        <v>43306</v>
      </c>
    </row>
    <row r="197" spans="1:12" x14ac:dyDescent="0.25">
      <c r="A197" s="20">
        <v>43128</v>
      </c>
      <c r="B197" s="3">
        <v>1364067</v>
      </c>
      <c r="C197" s="20">
        <v>43207</v>
      </c>
      <c r="D197" s="21" t="s">
        <v>824</v>
      </c>
      <c r="F197" s="21" t="s">
        <v>203</v>
      </c>
      <c r="G197" s="3" t="s">
        <v>321</v>
      </c>
      <c r="H197" s="22" t="s">
        <v>124</v>
      </c>
      <c r="I197" s="3">
        <v>1003</v>
      </c>
      <c r="J197" s="20">
        <v>43221</v>
      </c>
      <c r="K197" s="24">
        <v>5000</v>
      </c>
      <c r="L197">
        <f t="shared" si="12"/>
        <v>43311</v>
      </c>
    </row>
    <row r="198" spans="1:12" x14ac:dyDescent="0.25">
      <c r="A198" s="20">
        <v>43128</v>
      </c>
      <c r="B198" s="3">
        <v>1364068</v>
      </c>
      <c r="C198" s="20">
        <v>43207</v>
      </c>
      <c r="D198" s="21" t="s">
        <v>825</v>
      </c>
      <c r="F198" s="21" t="s">
        <v>213</v>
      </c>
      <c r="G198" s="3" t="s">
        <v>321</v>
      </c>
      <c r="H198" s="22" t="s">
        <v>124</v>
      </c>
      <c r="I198" s="3">
        <v>1004</v>
      </c>
      <c r="J198" s="20">
        <v>43221</v>
      </c>
      <c r="K198" s="24">
        <v>12000</v>
      </c>
      <c r="L198">
        <f t="shared" si="12"/>
        <v>43311</v>
      </c>
    </row>
    <row r="199" spans="1:12" x14ac:dyDescent="0.25">
      <c r="A199" s="20">
        <v>43128</v>
      </c>
      <c r="B199" s="3">
        <v>1364069</v>
      </c>
      <c r="C199" s="20">
        <v>43216</v>
      </c>
      <c r="D199" s="21" t="s">
        <v>826</v>
      </c>
      <c r="F199" s="21" t="s">
        <v>213</v>
      </c>
      <c r="G199" s="3" t="s">
        <v>286</v>
      </c>
      <c r="H199" s="22" t="s">
        <v>251</v>
      </c>
      <c r="I199" s="3">
        <v>1005</v>
      </c>
      <c r="J199" s="20">
        <v>43227</v>
      </c>
      <c r="K199" s="24">
        <v>12000</v>
      </c>
      <c r="L199">
        <f t="shared" si="12"/>
        <v>43317</v>
      </c>
    </row>
    <row r="200" spans="1:12" x14ac:dyDescent="0.25">
      <c r="A200" s="20">
        <v>43128</v>
      </c>
      <c r="B200" s="3">
        <v>1364070</v>
      </c>
      <c r="C200" s="20">
        <v>43221</v>
      </c>
      <c r="D200" s="21" t="s">
        <v>827</v>
      </c>
      <c r="F200" s="21" t="s">
        <v>203</v>
      </c>
      <c r="G200" s="3" t="s">
        <v>321</v>
      </c>
      <c r="H200" s="22" t="s">
        <v>124</v>
      </c>
      <c r="I200" s="3">
        <v>1006</v>
      </c>
      <c r="J200" s="20">
        <v>43230</v>
      </c>
      <c r="K200" s="24">
        <v>5000</v>
      </c>
      <c r="L200">
        <f t="shared" si="12"/>
        <v>43320</v>
      </c>
    </row>
    <row r="201" spans="1:12" x14ac:dyDescent="0.25">
      <c r="A201" s="20">
        <v>43128</v>
      </c>
      <c r="B201" s="3">
        <v>1364071</v>
      </c>
      <c r="C201" s="20">
        <v>43221</v>
      </c>
      <c r="D201" s="21" t="s">
        <v>828</v>
      </c>
      <c r="F201" s="21" t="s">
        <v>213</v>
      </c>
      <c r="G201" s="3" t="s">
        <v>321</v>
      </c>
      <c r="H201" s="22" t="s">
        <v>124</v>
      </c>
      <c r="I201" s="3">
        <v>1007</v>
      </c>
      <c r="J201" s="20">
        <v>43230</v>
      </c>
      <c r="K201" s="24">
        <v>12000</v>
      </c>
      <c r="L201">
        <f t="shared" si="12"/>
        <v>43320</v>
      </c>
    </row>
    <row r="202" spans="1:12" x14ac:dyDescent="0.25">
      <c r="A202" s="20">
        <v>43128</v>
      </c>
      <c r="B202" s="3">
        <v>1364064</v>
      </c>
      <c r="C202" s="20">
        <v>43227</v>
      </c>
      <c r="D202" s="21" t="s">
        <v>829</v>
      </c>
      <c r="F202" s="21" t="s">
        <v>255</v>
      </c>
      <c r="G202" s="3" t="s">
        <v>286</v>
      </c>
      <c r="H202" s="22" t="s">
        <v>251</v>
      </c>
      <c r="I202" s="3">
        <v>1008</v>
      </c>
      <c r="J202" s="20">
        <v>43236</v>
      </c>
      <c r="K202" s="24">
        <v>8000</v>
      </c>
      <c r="L202">
        <f t="shared" si="12"/>
        <v>43326</v>
      </c>
    </row>
    <row r="203" spans="1:12" x14ac:dyDescent="0.25">
      <c r="A203" s="20">
        <v>43128</v>
      </c>
      <c r="B203" s="3">
        <v>1364073</v>
      </c>
      <c r="C203" s="20">
        <v>43230</v>
      </c>
      <c r="D203" s="21" t="s">
        <v>830</v>
      </c>
      <c r="F203" s="21" t="s">
        <v>203</v>
      </c>
      <c r="G203" s="3" t="s">
        <v>321</v>
      </c>
      <c r="H203" s="22" t="s">
        <v>124</v>
      </c>
      <c r="I203" s="3">
        <v>1009</v>
      </c>
      <c r="J203" s="20">
        <v>43237</v>
      </c>
      <c r="K203" s="24">
        <v>5000</v>
      </c>
      <c r="L203">
        <f t="shared" si="12"/>
        <v>43327</v>
      </c>
    </row>
    <row r="204" spans="1:12" x14ac:dyDescent="0.25">
      <c r="A204" s="20">
        <v>43128</v>
      </c>
      <c r="B204" s="3">
        <v>1364074</v>
      </c>
      <c r="C204" s="20">
        <v>43230</v>
      </c>
      <c r="D204" s="21" t="s">
        <v>831</v>
      </c>
      <c r="F204" s="21" t="s">
        <v>213</v>
      </c>
      <c r="G204" s="3" t="s">
        <v>321</v>
      </c>
      <c r="H204" s="22" t="s">
        <v>124</v>
      </c>
      <c r="I204" s="3">
        <v>1010</v>
      </c>
      <c r="J204" s="20">
        <v>43237</v>
      </c>
      <c r="K204" s="24">
        <v>12000</v>
      </c>
      <c r="L204">
        <f t="shared" si="12"/>
        <v>43327</v>
      </c>
    </row>
    <row r="205" spans="1:12" x14ac:dyDescent="0.25">
      <c r="A205" s="20">
        <v>43128</v>
      </c>
      <c r="B205" s="3">
        <v>1364075</v>
      </c>
      <c r="C205" s="20">
        <v>43236</v>
      </c>
      <c r="D205" s="21" t="s">
        <v>832</v>
      </c>
      <c r="F205" s="21" t="s">
        <v>294</v>
      </c>
      <c r="G205" s="3" t="s">
        <v>286</v>
      </c>
      <c r="H205" s="22" t="s">
        <v>251</v>
      </c>
      <c r="I205" s="3">
        <v>1011</v>
      </c>
      <c r="J205" s="20">
        <v>43240</v>
      </c>
      <c r="K205" s="24">
        <v>2500</v>
      </c>
      <c r="L205">
        <f t="shared" si="12"/>
        <v>43330</v>
      </c>
    </row>
    <row r="206" spans="1:12" x14ac:dyDescent="0.25">
      <c r="A206" s="20">
        <v>43128</v>
      </c>
      <c r="B206" s="3">
        <v>1364076</v>
      </c>
      <c r="C206" s="20">
        <v>43237</v>
      </c>
      <c r="D206" s="21" t="s">
        <v>833</v>
      </c>
      <c r="F206" s="21" t="s">
        <v>203</v>
      </c>
      <c r="G206" s="3" t="s">
        <v>321</v>
      </c>
      <c r="H206" s="22" t="s">
        <v>124</v>
      </c>
      <c r="I206" s="3">
        <v>1015</v>
      </c>
      <c r="J206" s="20">
        <v>43257</v>
      </c>
      <c r="K206" s="24">
        <v>5000</v>
      </c>
      <c r="L206">
        <f t="shared" si="12"/>
        <v>43347</v>
      </c>
    </row>
    <row r="207" spans="1:12" x14ac:dyDescent="0.25">
      <c r="A207" s="20">
        <v>43128</v>
      </c>
      <c r="B207" s="3">
        <v>1364077</v>
      </c>
      <c r="C207" s="20">
        <v>43237</v>
      </c>
      <c r="D207" s="21" t="s">
        <v>834</v>
      </c>
      <c r="F207" s="21" t="s">
        <v>213</v>
      </c>
      <c r="G207" s="3" t="s">
        <v>321</v>
      </c>
      <c r="H207" s="22" t="s">
        <v>124</v>
      </c>
      <c r="I207" s="3">
        <v>1016</v>
      </c>
      <c r="J207" s="20">
        <v>43257</v>
      </c>
      <c r="K207" s="24">
        <v>12000</v>
      </c>
      <c r="L207">
        <f t="shared" si="12"/>
        <v>43347</v>
      </c>
    </row>
    <row r="208" spans="1:12" x14ac:dyDescent="0.25">
      <c r="A208" s="20">
        <v>43128</v>
      </c>
      <c r="B208" s="3">
        <v>1364078</v>
      </c>
      <c r="C208" s="20">
        <v>43240</v>
      </c>
      <c r="D208" s="21" t="s">
        <v>835</v>
      </c>
      <c r="F208" s="21" t="s">
        <v>253</v>
      </c>
      <c r="G208" s="3" t="s">
        <v>286</v>
      </c>
      <c r="H208" s="22" t="s">
        <v>251</v>
      </c>
      <c r="I208" s="3">
        <v>1012</v>
      </c>
      <c r="J208" s="20">
        <v>43247</v>
      </c>
      <c r="K208" s="24">
        <v>3500</v>
      </c>
      <c r="L208">
        <f t="shared" si="12"/>
        <v>43337</v>
      </c>
    </row>
    <row r="209" spans="1:12" x14ac:dyDescent="0.25">
      <c r="A209" s="20">
        <v>43128</v>
      </c>
      <c r="B209" s="3">
        <v>1364079</v>
      </c>
      <c r="C209" s="20">
        <v>43240</v>
      </c>
      <c r="D209" s="21" t="s">
        <v>836</v>
      </c>
      <c r="F209" s="21" t="s">
        <v>255</v>
      </c>
      <c r="G209" s="3" t="s">
        <v>286</v>
      </c>
      <c r="H209" s="22" t="s">
        <v>251</v>
      </c>
      <c r="I209" s="3">
        <v>1013</v>
      </c>
      <c r="J209" s="20">
        <v>43247</v>
      </c>
      <c r="K209" s="24">
        <v>8000</v>
      </c>
      <c r="L209">
        <f t="shared" si="12"/>
        <v>43337</v>
      </c>
    </row>
    <row r="210" spans="1:12" x14ac:dyDescent="0.25">
      <c r="A210" s="20">
        <v>43128</v>
      </c>
      <c r="B210" s="3">
        <v>1364080</v>
      </c>
      <c r="C210" s="20">
        <v>43248</v>
      </c>
      <c r="D210" s="21" t="s">
        <v>837</v>
      </c>
      <c r="E210" s="21" t="s">
        <v>838</v>
      </c>
      <c r="F210" s="21" t="s">
        <v>284</v>
      </c>
      <c r="G210" s="3" t="s">
        <v>262</v>
      </c>
      <c r="H210" s="22" t="s">
        <v>131</v>
      </c>
      <c r="I210" s="3">
        <v>1018</v>
      </c>
      <c r="J210" s="20">
        <v>43267</v>
      </c>
      <c r="K210" s="24">
        <v>9000</v>
      </c>
      <c r="L210">
        <f t="shared" si="12"/>
        <v>43357</v>
      </c>
    </row>
    <row r="211" spans="1:12" x14ac:dyDescent="0.25">
      <c r="A211" s="20">
        <v>43128</v>
      </c>
      <c r="B211" s="3">
        <v>1364081</v>
      </c>
      <c r="C211" s="20">
        <v>43249</v>
      </c>
      <c r="D211" s="21" t="s">
        <v>839</v>
      </c>
      <c r="F211" s="21" t="s">
        <v>255</v>
      </c>
      <c r="G211" s="3" t="s">
        <v>286</v>
      </c>
      <c r="H211" s="22" t="s">
        <v>251</v>
      </c>
      <c r="I211" s="3">
        <v>1017</v>
      </c>
      <c r="J211" s="20">
        <v>43257</v>
      </c>
      <c r="K211" s="24">
        <v>8000</v>
      </c>
      <c r="L211">
        <f t="shared" si="12"/>
        <v>43347</v>
      </c>
    </row>
    <row r="212" spans="1:12" x14ac:dyDescent="0.25">
      <c r="A212" s="20">
        <v>43128</v>
      </c>
      <c r="B212" s="3">
        <v>1364082</v>
      </c>
      <c r="C212" s="20">
        <v>43257</v>
      </c>
      <c r="D212" s="21" t="s">
        <v>840</v>
      </c>
      <c r="E212" s="21" t="s">
        <v>841</v>
      </c>
      <c r="F212" s="21" t="s">
        <v>284</v>
      </c>
      <c r="G212" s="3" t="s">
        <v>321</v>
      </c>
      <c r="H212" s="22" t="s">
        <v>124</v>
      </c>
      <c r="I212" s="3">
        <v>1019</v>
      </c>
      <c r="J212" s="20">
        <v>43267</v>
      </c>
      <c r="K212" s="24">
        <v>9000</v>
      </c>
      <c r="L212">
        <f t="shared" si="12"/>
        <v>43357</v>
      </c>
    </row>
    <row r="213" spans="1:12" x14ac:dyDescent="0.25">
      <c r="A213" s="20">
        <v>43128</v>
      </c>
      <c r="B213" s="3">
        <v>1364083</v>
      </c>
      <c r="C213" s="20">
        <v>43257</v>
      </c>
      <c r="D213" s="21" t="s">
        <v>842</v>
      </c>
      <c r="F213" s="21" t="s">
        <v>253</v>
      </c>
      <c r="G213" s="3" t="s">
        <v>286</v>
      </c>
      <c r="H213" s="22" t="s">
        <v>251</v>
      </c>
      <c r="I213" s="3">
        <v>1020</v>
      </c>
      <c r="J213" s="20">
        <v>43268</v>
      </c>
      <c r="K213" s="24">
        <v>3500</v>
      </c>
      <c r="L213">
        <f t="shared" si="12"/>
        <v>43358</v>
      </c>
    </row>
    <row r="214" spans="1:12" x14ac:dyDescent="0.25">
      <c r="A214" s="20">
        <v>43128</v>
      </c>
      <c r="B214" s="3">
        <v>1364084</v>
      </c>
      <c r="C214" s="20">
        <v>43257</v>
      </c>
      <c r="D214" s="21" t="s">
        <v>843</v>
      </c>
      <c r="F214" s="21" t="s">
        <v>255</v>
      </c>
      <c r="G214" s="3" t="s">
        <v>286</v>
      </c>
      <c r="H214" s="22" t="s">
        <v>251</v>
      </c>
      <c r="I214" s="3">
        <v>1021</v>
      </c>
      <c r="J214" s="20">
        <v>43268</v>
      </c>
      <c r="K214" s="24">
        <v>8000</v>
      </c>
      <c r="L214">
        <f t="shared" si="12"/>
        <v>43358</v>
      </c>
    </row>
    <row r="215" spans="1:12" x14ac:dyDescent="0.25">
      <c r="A215" s="20">
        <v>43128</v>
      </c>
      <c r="B215" s="3">
        <v>1364085</v>
      </c>
      <c r="C215" s="20">
        <v>43267</v>
      </c>
      <c r="D215" s="21" t="s">
        <v>844</v>
      </c>
      <c r="E215" s="21" t="s">
        <v>845</v>
      </c>
      <c r="F215" s="21" t="s">
        <v>284</v>
      </c>
      <c r="G215" s="3" t="s">
        <v>262</v>
      </c>
      <c r="H215" s="22" t="s">
        <v>131</v>
      </c>
      <c r="I215" s="3">
        <v>1023</v>
      </c>
      <c r="J215" s="20">
        <v>43281</v>
      </c>
      <c r="K215" s="24">
        <v>9000</v>
      </c>
      <c r="L215">
        <f t="shared" si="12"/>
        <v>43371</v>
      </c>
    </row>
    <row r="216" spans="1:12" x14ac:dyDescent="0.25">
      <c r="A216" s="20">
        <v>43128</v>
      </c>
      <c r="B216" s="3">
        <v>1364086</v>
      </c>
      <c r="C216" s="20">
        <v>43267</v>
      </c>
      <c r="D216" s="21" t="s">
        <v>846</v>
      </c>
      <c r="E216" s="21" t="s">
        <v>847</v>
      </c>
      <c r="F216" s="21" t="s">
        <v>284</v>
      </c>
      <c r="G216" s="3" t="s">
        <v>321</v>
      </c>
      <c r="H216" s="22" t="s">
        <v>124</v>
      </c>
      <c r="I216" s="3">
        <v>1022</v>
      </c>
      <c r="J216" s="20">
        <v>43281</v>
      </c>
      <c r="K216" s="24">
        <v>9000</v>
      </c>
      <c r="L216">
        <f t="shared" si="12"/>
        <v>43371</v>
      </c>
    </row>
    <row r="217" spans="1:12" x14ac:dyDescent="0.25">
      <c r="A217" s="20">
        <v>43128</v>
      </c>
      <c r="B217" s="3">
        <v>1364087</v>
      </c>
      <c r="C217" s="20">
        <v>43268</v>
      </c>
      <c r="D217" s="21" t="s">
        <v>848</v>
      </c>
      <c r="F217" s="21" t="s">
        <v>203</v>
      </c>
      <c r="G217" s="3" t="s">
        <v>286</v>
      </c>
      <c r="H217" s="22" t="s">
        <v>251</v>
      </c>
    </row>
    <row r="218" spans="1:12" x14ac:dyDescent="0.25">
      <c r="A218" s="20">
        <v>43128</v>
      </c>
      <c r="B218" s="3">
        <v>1364088</v>
      </c>
      <c r="C218" s="20">
        <v>43268</v>
      </c>
      <c r="D218" s="21" t="s">
        <v>849</v>
      </c>
      <c r="F218" s="21" t="s">
        <v>213</v>
      </c>
      <c r="G218" s="3" t="s">
        <v>286</v>
      </c>
      <c r="H218" s="22" t="s">
        <v>251</v>
      </c>
    </row>
    <row r="219" spans="1:12" x14ac:dyDescent="0.25">
      <c r="A219" s="20">
        <v>43128</v>
      </c>
      <c r="B219" s="3">
        <v>1364089</v>
      </c>
      <c r="C219" s="20">
        <v>43281</v>
      </c>
      <c r="D219" s="21" t="s">
        <v>850</v>
      </c>
      <c r="E219" s="21" t="s">
        <v>851</v>
      </c>
      <c r="F219" s="21" t="s">
        <v>284</v>
      </c>
      <c r="G219" s="3" t="s">
        <v>852</v>
      </c>
      <c r="H219" s="22" t="s">
        <v>131</v>
      </c>
    </row>
    <row r="220" spans="1:12" x14ac:dyDescent="0.25">
      <c r="A220" s="20">
        <v>43128</v>
      </c>
      <c r="B220" s="3">
        <v>1364090</v>
      </c>
      <c r="C220" s="20">
        <v>43283</v>
      </c>
      <c r="D220" s="21" t="s">
        <v>853</v>
      </c>
      <c r="F220" s="21" t="s">
        <v>253</v>
      </c>
      <c r="G220" s="3" t="s">
        <v>286</v>
      </c>
      <c r="H220" s="22" t="s">
        <v>251</v>
      </c>
    </row>
    <row r="221" spans="1:12" x14ac:dyDescent="0.25">
      <c r="A221" s="20">
        <v>43128</v>
      </c>
      <c r="B221" s="3">
        <v>1364091</v>
      </c>
      <c r="C221" s="20">
        <v>43283</v>
      </c>
      <c r="D221" s="21" t="s">
        <v>854</v>
      </c>
      <c r="F221" s="21" t="s">
        <v>255</v>
      </c>
      <c r="G221" s="3" t="s">
        <v>286</v>
      </c>
      <c r="H221" s="22" t="s">
        <v>251</v>
      </c>
    </row>
    <row r="222" spans="1:12" x14ac:dyDescent="0.25">
      <c r="A222" s="20">
        <v>43128</v>
      </c>
      <c r="B222" s="3">
        <v>1364092</v>
      </c>
      <c r="C222" s="20">
        <v>43285</v>
      </c>
      <c r="D222" s="21" t="s">
        <v>855</v>
      </c>
      <c r="E222" s="21" t="s">
        <v>856</v>
      </c>
      <c r="F222" s="21" t="s">
        <v>284</v>
      </c>
      <c r="G222" s="3" t="s">
        <v>321</v>
      </c>
      <c r="H222" s="22" t="s">
        <v>124</v>
      </c>
    </row>
    <row r="223" spans="1:12" x14ac:dyDescent="0.25">
      <c r="A223" s="20">
        <v>43128</v>
      </c>
      <c r="B223" s="3">
        <v>1364093</v>
      </c>
      <c r="C223" s="20">
        <v>43298</v>
      </c>
      <c r="D223" s="21" t="s">
        <v>857</v>
      </c>
      <c r="E223" s="21" t="s">
        <v>858</v>
      </c>
      <c r="F223" s="21" t="s">
        <v>211</v>
      </c>
      <c r="G223" s="3" t="s">
        <v>286</v>
      </c>
      <c r="H223" s="22" t="s">
        <v>251</v>
      </c>
      <c r="I223" s="3">
        <v>1024</v>
      </c>
      <c r="J223" s="20">
        <v>43306</v>
      </c>
      <c r="K223" s="24">
        <v>10000</v>
      </c>
      <c r="L223">
        <f t="shared" ref="L223:L274" si="13">J223+90</f>
        <v>43396</v>
      </c>
    </row>
    <row r="224" spans="1:12" x14ac:dyDescent="0.25">
      <c r="A224" s="20">
        <v>43128</v>
      </c>
      <c r="B224" s="3">
        <v>1364094</v>
      </c>
      <c r="C224" s="20">
        <v>43303</v>
      </c>
      <c r="D224" s="21" t="s">
        <v>859</v>
      </c>
      <c r="E224" s="21" t="s">
        <v>860</v>
      </c>
      <c r="F224" s="21" t="s">
        <v>284</v>
      </c>
      <c r="G224" s="3" t="s">
        <v>321</v>
      </c>
      <c r="H224" s="22" t="s">
        <v>250</v>
      </c>
      <c r="I224" s="3">
        <v>1027</v>
      </c>
      <c r="J224" s="20">
        <v>43333</v>
      </c>
      <c r="K224" s="24">
        <v>9000</v>
      </c>
      <c r="L224">
        <f t="shared" si="13"/>
        <v>43423</v>
      </c>
    </row>
    <row r="225" spans="1:12" x14ac:dyDescent="0.25">
      <c r="A225" s="20">
        <v>43128</v>
      </c>
      <c r="B225" s="3">
        <v>1364095</v>
      </c>
      <c r="C225" s="20">
        <v>43303</v>
      </c>
      <c r="D225" s="21" t="s">
        <v>861</v>
      </c>
      <c r="E225" s="21" t="s">
        <v>862</v>
      </c>
      <c r="F225" s="21" t="s">
        <v>284</v>
      </c>
      <c r="G225" s="3" t="s">
        <v>852</v>
      </c>
      <c r="H225" s="22" t="s">
        <v>131</v>
      </c>
      <c r="I225" s="3">
        <v>1028</v>
      </c>
      <c r="J225" s="20">
        <v>43337</v>
      </c>
      <c r="K225" s="24">
        <v>9000</v>
      </c>
      <c r="L225">
        <f t="shared" si="13"/>
        <v>43427</v>
      </c>
    </row>
    <row r="226" spans="1:12" x14ac:dyDescent="0.25">
      <c r="A226" s="20">
        <v>43128</v>
      </c>
      <c r="B226" s="3">
        <v>1364096</v>
      </c>
      <c r="C226" s="20">
        <v>43306</v>
      </c>
      <c r="D226" s="21" t="s">
        <v>863</v>
      </c>
      <c r="F226" s="21" t="s">
        <v>257</v>
      </c>
      <c r="G226" s="3" t="s">
        <v>286</v>
      </c>
      <c r="H226" s="22" t="s">
        <v>251</v>
      </c>
      <c r="I226" s="3">
        <v>1025</v>
      </c>
      <c r="J226" s="20">
        <v>43309</v>
      </c>
      <c r="K226" s="24">
        <v>2500</v>
      </c>
      <c r="L226">
        <f t="shared" si="13"/>
        <v>43399</v>
      </c>
    </row>
    <row r="227" spans="1:12" x14ac:dyDescent="0.25">
      <c r="A227" s="20">
        <v>43128</v>
      </c>
      <c r="B227" s="3">
        <v>1364097</v>
      </c>
      <c r="C227" s="20">
        <v>43312</v>
      </c>
      <c r="D227" s="21" t="s">
        <v>864</v>
      </c>
      <c r="F227" s="21" t="s">
        <v>213</v>
      </c>
      <c r="G227" s="3" t="s">
        <v>286</v>
      </c>
      <c r="H227" s="22" t="s">
        <v>251</v>
      </c>
      <c r="I227" s="3">
        <v>1026</v>
      </c>
      <c r="J227" s="20">
        <v>43327</v>
      </c>
      <c r="K227" s="24">
        <v>12000</v>
      </c>
      <c r="L227">
        <f t="shared" si="13"/>
        <v>43417</v>
      </c>
    </row>
    <row r="228" spans="1:12" x14ac:dyDescent="0.25">
      <c r="A228" s="20">
        <v>43128</v>
      </c>
      <c r="B228" s="3">
        <v>1364098</v>
      </c>
      <c r="C228" s="20">
        <v>43332</v>
      </c>
      <c r="D228" s="21" t="s">
        <v>865</v>
      </c>
      <c r="F228" s="21" t="s">
        <v>253</v>
      </c>
      <c r="G228" s="3" t="s">
        <v>286</v>
      </c>
      <c r="H228" s="22" t="s">
        <v>512</v>
      </c>
      <c r="I228" s="3">
        <v>1029</v>
      </c>
      <c r="J228" s="20">
        <v>43344</v>
      </c>
      <c r="K228" s="24">
        <v>3500</v>
      </c>
      <c r="L228">
        <f t="shared" si="13"/>
        <v>43434</v>
      </c>
    </row>
    <row r="229" spans="1:12" x14ac:dyDescent="0.25">
      <c r="A229" s="20">
        <v>43128</v>
      </c>
      <c r="B229" s="3">
        <v>1364099</v>
      </c>
      <c r="C229" s="20">
        <v>43332</v>
      </c>
      <c r="D229" s="21" t="s">
        <v>866</v>
      </c>
      <c r="F229" s="21" t="s">
        <v>255</v>
      </c>
      <c r="G229" s="3" t="s">
        <v>286</v>
      </c>
      <c r="H229" s="22" t="s">
        <v>512</v>
      </c>
      <c r="I229" s="3">
        <v>1030</v>
      </c>
      <c r="J229" s="20">
        <v>43344</v>
      </c>
      <c r="K229" s="24">
        <v>8000</v>
      </c>
      <c r="L229">
        <f t="shared" si="13"/>
        <v>43434</v>
      </c>
    </row>
    <row r="230" spans="1:12" x14ac:dyDescent="0.25">
      <c r="A230" s="20">
        <v>43128</v>
      </c>
      <c r="B230" s="3">
        <v>1364100</v>
      </c>
      <c r="C230" s="20">
        <v>43333</v>
      </c>
      <c r="D230" s="21" t="s">
        <v>867</v>
      </c>
      <c r="E230" s="21" t="s">
        <v>868</v>
      </c>
      <c r="F230" s="21" t="s">
        <v>284</v>
      </c>
      <c r="G230" s="3" t="s">
        <v>321</v>
      </c>
      <c r="H230" s="22" t="s">
        <v>250</v>
      </c>
      <c r="I230" s="3">
        <v>1032</v>
      </c>
      <c r="J230" s="20">
        <v>43355</v>
      </c>
      <c r="K230" s="24">
        <v>9000</v>
      </c>
      <c r="L230">
        <f t="shared" si="13"/>
        <v>43445</v>
      </c>
    </row>
    <row r="231" spans="1:12" x14ac:dyDescent="0.25">
      <c r="A231" s="20">
        <v>43337</v>
      </c>
      <c r="B231" s="3">
        <v>1409251</v>
      </c>
      <c r="C231" s="20">
        <v>43337</v>
      </c>
      <c r="D231" s="21" t="s">
        <v>869</v>
      </c>
      <c r="E231" s="21" t="s">
        <v>870</v>
      </c>
      <c r="F231" s="21" t="s">
        <v>284</v>
      </c>
      <c r="G231" s="3" t="s">
        <v>852</v>
      </c>
      <c r="H231" s="22" t="s">
        <v>126</v>
      </c>
      <c r="I231" s="3">
        <v>1031</v>
      </c>
      <c r="J231" s="20">
        <v>43353</v>
      </c>
      <c r="K231" s="24">
        <v>9000</v>
      </c>
      <c r="L231">
        <f t="shared" si="13"/>
        <v>43443</v>
      </c>
    </row>
    <row r="232" spans="1:12" x14ac:dyDescent="0.25">
      <c r="A232" s="20">
        <v>43337</v>
      </c>
      <c r="B232" s="3">
        <v>1409252</v>
      </c>
      <c r="C232" s="20">
        <v>43344</v>
      </c>
      <c r="D232" s="21" t="s">
        <v>871</v>
      </c>
      <c r="F232" s="21" t="s">
        <v>255</v>
      </c>
      <c r="G232" s="3" t="s">
        <v>286</v>
      </c>
      <c r="H232" s="22" t="s">
        <v>512</v>
      </c>
      <c r="I232" s="3">
        <v>1033</v>
      </c>
      <c r="J232" s="20">
        <v>43360</v>
      </c>
      <c r="K232" s="24">
        <v>8000</v>
      </c>
      <c r="L232">
        <f t="shared" si="13"/>
        <v>43450</v>
      </c>
    </row>
    <row r="233" spans="1:12" x14ac:dyDescent="0.25">
      <c r="A233" s="20">
        <v>43337</v>
      </c>
      <c r="B233" s="3">
        <v>1409253</v>
      </c>
      <c r="C233" s="20">
        <v>43355</v>
      </c>
      <c r="D233" s="21" t="s">
        <v>872</v>
      </c>
      <c r="E233" s="21" t="s">
        <v>873</v>
      </c>
      <c r="F233" s="21" t="s">
        <v>212</v>
      </c>
      <c r="G233" s="3" t="s">
        <v>852</v>
      </c>
      <c r="H233" s="22" t="s">
        <v>126</v>
      </c>
      <c r="I233" s="3">
        <v>1034</v>
      </c>
      <c r="J233" s="20">
        <v>43369</v>
      </c>
      <c r="K233" s="24">
        <v>9000</v>
      </c>
      <c r="L233">
        <f t="shared" si="13"/>
        <v>43459</v>
      </c>
    </row>
    <row r="234" spans="1:12" x14ac:dyDescent="0.25">
      <c r="A234" s="20">
        <v>43337</v>
      </c>
      <c r="B234" s="3">
        <v>1409254</v>
      </c>
      <c r="C234" s="20">
        <v>43355</v>
      </c>
      <c r="D234" s="21" t="s">
        <v>874</v>
      </c>
      <c r="E234" s="21" t="s">
        <v>875</v>
      </c>
      <c r="F234" s="21" t="s">
        <v>876</v>
      </c>
      <c r="G234" s="3" t="s">
        <v>321</v>
      </c>
      <c r="H234" s="22" t="s">
        <v>250</v>
      </c>
      <c r="I234" s="3">
        <v>1038</v>
      </c>
      <c r="J234" s="20">
        <v>43390</v>
      </c>
      <c r="K234" s="24">
        <v>5000</v>
      </c>
      <c r="L234">
        <f t="shared" si="13"/>
        <v>43480</v>
      </c>
    </row>
    <row r="235" spans="1:12" x14ac:dyDescent="0.25">
      <c r="A235" s="20">
        <v>43337</v>
      </c>
      <c r="B235" s="3">
        <v>1409255</v>
      </c>
      <c r="C235" s="20">
        <v>43360</v>
      </c>
      <c r="D235" s="21" t="s">
        <v>877</v>
      </c>
      <c r="F235" s="21" t="s">
        <v>255</v>
      </c>
      <c r="G235" s="3" t="s">
        <v>286</v>
      </c>
      <c r="H235" s="22" t="s">
        <v>512</v>
      </c>
      <c r="I235" s="3">
        <v>1041</v>
      </c>
      <c r="J235" s="20">
        <v>43423</v>
      </c>
      <c r="K235" s="24">
        <v>8000</v>
      </c>
      <c r="L235">
        <f t="shared" si="13"/>
        <v>43513</v>
      </c>
    </row>
    <row r="236" spans="1:12" x14ac:dyDescent="0.25">
      <c r="A236" s="20">
        <v>43337</v>
      </c>
      <c r="B236" s="3">
        <v>1409256</v>
      </c>
      <c r="C236" s="20">
        <v>43374</v>
      </c>
      <c r="D236" s="21" t="s">
        <v>878</v>
      </c>
      <c r="E236" s="21" t="s">
        <v>879</v>
      </c>
      <c r="F236" s="21" t="s">
        <v>292</v>
      </c>
      <c r="G236" s="3" t="s">
        <v>852</v>
      </c>
      <c r="H236" s="22" t="s">
        <v>126</v>
      </c>
      <c r="I236" s="3">
        <v>1040</v>
      </c>
      <c r="J236" s="20">
        <v>43407</v>
      </c>
      <c r="K236" s="24">
        <v>5000</v>
      </c>
      <c r="L236">
        <f t="shared" si="13"/>
        <v>43497</v>
      </c>
    </row>
    <row r="237" spans="1:12" x14ac:dyDescent="0.25">
      <c r="A237" s="20">
        <v>43337</v>
      </c>
      <c r="B237" s="3">
        <v>1409257</v>
      </c>
      <c r="C237" s="20">
        <v>43390</v>
      </c>
      <c r="D237" s="21" t="s">
        <v>880</v>
      </c>
      <c r="E237" s="21" t="s">
        <v>881</v>
      </c>
      <c r="F237" s="21" t="s">
        <v>284</v>
      </c>
      <c r="G237" s="3" t="s">
        <v>321</v>
      </c>
      <c r="H237" s="22" t="s">
        <v>250</v>
      </c>
      <c r="I237" s="3">
        <v>1039</v>
      </c>
      <c r="J237" s="20">
        <v>43403</v>
      </c>
      <c r="K237" s="24">
        <v>9000</v>
      </c>
      <c r="L237">
        <f t="shared" si="13"/>
        <v>43493</v>
      </c>
    </row>
    <row r="238" spans="1:12" x14ac:dyDescent="0.25">
      <c r="A238" s="20">
        <v>43337</v>
      </c>
      <c r="B238" s="3">
        <v>1409258</v>
      </c>
      <c r="C238" s="20">
        <v>43403</v>
      </c>
      <c r="D238" s="21" t="s">
        <v>882</v>
      </c>
      <c r="E238" s="21" t="s">
        <v>883</v>
      </c>
      <c r="F238" s="21" t="s">
        <v>284</v>
      </c>
      <c r="G238" s="3" t="s">
        <v>321</v>
      </c>
      <c r="H238" s="22" t="s">
        <v>250</v>
      </c>
      <c r="I238" s="3">
        <v>1045</v>
      </c>
      <c r="J238" s="20">
        <v>43449</v>
      </c>
      <c r="K238" s="24">
        <v>9000</v>
      </c>
      <c r="L238">
        <f t="shared" si="13"/>
        <v>43539</v>
      </c>
    </row>
    <row r="239" spans="1:12" x14ac:dyDescent="0.25">
      <c r="A239" s="20">
        <v>43337</v>
      </c>
      <c r="B239" s="3">
        <v>1409259</v>
      </c>
      <c r="C239" s="20">
        <v>43423</v>
      </c>
      <c r="D239" s="21" t="s">
        <v>884</v>
      </c>
      <c r="F239" s="21" t="s">
        <v>255</v>
      </c>
      <c r="G239" s="3" t="s">
        <v>286</v>
      </c>
      <c r="H239" s="22" t="s">
        <v>512</v>
      </c>
      <c r="I239" s="3">
        <v>1042</v>
      </c>
      <c r="J239" s="20">
        <v>43435</v>
      </c>
      <c r="K239" s="24">
        <v>8000</v>
      </c>
      <c r="L239">
        <f t="shared" si="13"/>
        <v>43525</v>
      </c>
    </row>
    <row r="240" spans="1:12" x14ac:dyDescent="0.25">
      <c r="A240" s="20">
        <v>43337</v>
      </c>
      <c r="B240" s="3">
        <v>1409260</v>
      </c>
      <c r="C240" s="20">
        <v>43435</v>
      </c>
      <c r="D240" s="21" t="s">
        <v>885</v>
      </c>
      <c r="F240" s="21" t="s">
        <v>253</v>
      </c>
      <c r="G240" s="3" t="s">
        <v>286</v>
      </c>
      <c r="H240" s="22" t="s">
        <v>512</v>
      </c>
      <c r="I240" s="3">
        <v>1043</v>
      </c>
      <c r="J240" s="20">
        <v>43440</v>
      </c>
      <c r="K240" s="24">
        <v>3500</v>
      </c>
      <c r="L240">
        <f t="shared" si="13"/>
        <v>43530</v>
      </c>
    </row>
    <row r="241" spans="1:12" x14ac:dyDescent="0.25">
      <c r="A241" s="20">
        <v>43337</v>
      </c>
      <c r="B241" s="3">
        <v>1409261</v>
      </c>
      <c r="C241" s="20">
        <v>43435</v>
      </c>
      <c r="D241" s="21" t="s">
        <v>886</v>
      </c>
      <c r="F241" s="21" t="s">
        <v>213</v>
      </c>
      <c r="G241" s="3" t="s">
        <v>286</v>
      </c>
      <c r="H241" s="22" t="s">
        <v>512</v>
      </c>
      <c r="I241" s="3">
        <v>1044</v>
      </c>
      <c r="J241" s="20">
        <v>43440</v>
      </c>
      <c r="K241" s="24">
        <v>12000</v>
      </c>
      <c r="L241">
        <f t="shared" si="13"/>
        <v>43530</v>
      </c>
    </row>
    <row r="242" spans="1:12" x14ac:dyDescent="0.25">
      <c r="A242" s="20">
        <v>43337</v>
      </c>
      <c r="B242" s="3">
        <v>1409262</v>
      </c>
      <c r="C242" s="20">
        <v>43440</v>
      </c>
      <c r="D242" s="21" t="s">
        <v>887</v>
      </c>
      <c r="F242" s="21" t="s">
        <v>257</v>
      </c>
      <c r="G242" s="3" t="s">
        <v>286</v>
      </c>
      <c r="H242" s="22" t="s">
        <v>512</v>
      </c>
      <c r="I242" s="3">
        <v>1049</v>
      </c>
      <c r="J242" s="20">
        <v>43475</v>
      </c>
      <c r="K242" s="24">
        <v>2500</v>
      </c>
      <c r="L242">
        <f t="shared" si="13"/>
        <v>43565</v>
      </c>
    </row>
    <row r="243" spans="1:12" x14ac:dyDescent="0.25">
      <c r="A243" s="20">
        <v>43337</v>
      </c>
      <c r="B243" s="3">
        <v>1409263</v>
      </c>
      <c r="C243" s="20">
        <v>43440</v>
      </c>
      <c r="D243" s="21" t="s">
        <v>888</v>
      </c>
      <c r="F243" s="21" t="s">
        <v>294</v>
      </c>
      <c r="G243" s="3" t="s">
        <v>286</v>
      </c>
      <c r="H243" s="22" t="s">
        <v>512</v>
      </c>
      <c r="I243" s="3">
        <v>1050</v>
      </c>
      <c r="J243" s="20">
        <v>43475</v>
      </c>
      <c r="K243" s="24">
        <v>2500</v>
      </c>
      <c r="L243">
        <f t="shared" si="13"/>
        <v>43565</v>
      </c>
    </row>
    <row r="244" spans="1:12" x14ac:dyDescent="0.25">
      <c r="A244" s="20">
        <v>43337</v>
      </c>
      <c r="B244" s="3">
        <v>1409264</v>
      </c>
      <c r="C244" s="20">
        <v>43449</v>
      </c>
      <c r="D244" s="21" t="s">
        <v>889</v>
      </c>
      <c r="F244" s="21" t="s">
        <v>203</v>
      </c>
      <c r="G244" s="3" t="s">
        <v>890</v>
      </c>
      <c r="H244" s="22" t="s">
        <v>259</v>
      </c>
      <c r="I244" s="3">
        <v>1047</v>
      </c>
      <c r="J244" s="20">
        <v>43470</v>
      </c>
      <c r="K244" s="24">
        <v>5000</v>
      </c>
      <c r="L244">
        <f t="shared" si="13"/>
        <v>43560</v>
      </c>
    </row>
    <row r="245" spans="1:12" x14ac:dyDescent="0.25">
      <c r="A245" s="20">
        <v>43337</v>
      </c>
      <c r="B245" s="3">
        <v>1409265</v>
      </c>
      <c r="C245" s="20">
        <v>43449</v>
      </c>
      <c r="D245" s="21" t="s">
        <v>891</v>
      </c>
      <c r="F245" s="21" t="s">
        <v>213</v>
      </c>
      <c r="G245" s="3" t="s">
        <v>890</v>
      </c>
      <c r="H245" s="22" t="s">
        <v>259</v>
      </c>
      <c r="I245" s="3">
        <v>1048</v>
      </c>
      <c r="J245" s="20">
        <v>43470</v>
      </c>
      <c r="K245" s="24">
        <v>12000</v>
      </c>
      <c r="L245">
        <f t="shared" si="13"/>
        <v>43560</v>
      </c>
    </row>
    <row r="246" spans="1:12" x14ac:dyDescent="0.25">
      <c r="A246" s="20">
        <v>43337</v>
      </c>
      <c r="B246" s="3">
        <v>1409266</v>
      </c>
      <c r="C246" s="20">
        <v>43449</v>
      </c>
      <c r="D246" s="21" t="s">
        <v>892</v>
      </c>
      <c r="E246" s="21" t="s">
        <v>893</v>
      </c>
      <c r="F246" s="21" t="s">
        <v>876</v>
      </c>
      <c r="G246" s="3" t="s">
        <v>321</v>
      </c>
      <c r="H246" s="22" t="s">
        <v>250</v>
      </c>
      <c r="I246" s="3">
        <v>1046</v>
      </c>
      <c r="J246" s="20">
        <v>43466</v>
      </c>
      <c r="K246" s="24">
        <v>5000</v>
      </c>
      <c r="L246">
        <f t="shared" si="13"/>
        <v>43556</v>
      </c>
    </row>
    <row r="247" spans="1:12" x14ac:dyDescent="0.25">
      <c r="A247" s="20">
        <v>43337</v>
      </c>
      <c r="B247" s="3">
        <v>1409270</v>
      </c>
      <c r="C247" s="20">
        <v>43489</v>
      </c>
      <c r="D247" s="21" t="s">
        <v>894</v>
      </c>
      <c r="E247" s="21" t="s">
        <v>895</v>
      </c>
      <c r="F247" s="21" t="s">
        <v>284</v>
      </c>
      <c r="G247" s="3" t="s">
        <v>321</v>
      </c>
      <c r="H247" s="22" t="s">
        <v>250</v>
      </c>
      <c r="I247" s="3">
        <v>1055</v>
      </c>
      <c r="J247" s="20">
        <v>43508</v>
      </c>
      <c r="K247" s="24">
        <v>9000</v>
      </c>
      <c r="L247">
        <f t="shared" si="13"/>
        <v>43598</v>
      </c>
    </row>
    <row r="248" spans="1:12" x14ac:dyDescent="0.25">
      <c r="A248" s="20">
        <v>43337</v>
      </c>
      <c r="B248" s="3">
        <v>1409268</v>
      </c>
      <c r="C248" s="20">
        <v>43491</v>
      </c>
      <c r="D248" s="21" t="s">
        <v>896</v>
      </c>
      <c r="F248" s="21" t="s">
        <v>253</v>
      </c>
      <c r="G248" s="3" t="s">
        <v>286</v>
      </c>
      <c r="H248" s="22" t="s">
        <v>512</v>
      </c>
      <c r="I248" s="3">
        <v>1052</v>
      </c>
      <c r="J248" s="20">
        <v>43491</v>
      </c>
      <c r="K248" s="24">
        <v>3500</v>
      </c>
      <c r="L248">
        <f t="shared" si="13"/>
        <v>43581</v>
      </c>
    </row>
    <row r="249" spans="1:12" x14ac:dyDescent="0.25">
      <c r="A249" s="20">
        <v>43337</v>
      </c>
      <c r="B249" s="3">
        <v>1409269</v>
      </c>
      <c r="C249" s="20">
        <v>43491</v>
      </c>
      <c r="D249" s="21" t="s">
        <v>897</v>
      </c>
      <c r="F249" s="21" t="s">
        <v>255</v>
      </c>
      <c r="G249" s="3" t="s">
        <v>286</v>
      </c>
      <c r="H249" s="22" t="s">
        <v>512</v>
      </c>
      <c r="I249" s="3">
        <v>1053</v>
      </c>
      <c r="J249" s="20">
        <v>43491</v>
      </c>
      <c r="K249" s="24">
        <v>8000</v>
      </c>
      <c r="L249">
        <f t="shared" si="13"/>
        <v>43581</v>
      </c>
    </row>
    <row r="250" spans="1:12" x14ac:dyDescent="0.25">
      <c r="A250" s="20">
        <v>43337</v>
      </c>
      <c r="B250" s="3">
        <v>1409267</v>
      </c>
      <c r="C250" s="20">
        <v>43491</v>
      </c>
      <c r="D250" s="21" t="s">
        <v>898</v>
      </c>
      <c r="F250" s="21" t="s">
        <v>253</v>
      </c>
      <c r="G250" s="3" t="s">
        <v>286</v>
      </c>
      <c r="H250" s="22" t="s">
        <v>512</v>
      </c>
      <c r="I250" s="3">
        <v>1054</v>
      </c>
      <c r="J250" s="20">
        <v>43496</v>
      </c>
      <c r="K250" s="24">
        <v>3500</v>
      </c>
      <c r="L250">
        <f t="shared" si="13"/>
        <v>43586</v>
      </c>
    </row>
    <row r="251" spans="1:12" x14ac:dyDescent="0.25">
      <c r="A251" s="20">
        <v>43337</v>
      </c>
      <c r="B251" s="3">
        <v>1409271</v>
      </c>
      <c r="C251" s="20">
        <v>43496</v>
      </c>
      <c r="D251" s="21" t="s">
        <v>899</v>
      </c>
      <c r="F251" s="21" t="s">
        <v>255</v>
      </c>
      <c r="G251" s="3" t="s">
        <v>286</v>
      </c>
      <c r="H251" s="22" t="s">
        <v>512</v>
      </c>
      <c r="I251" s="3">
        <v>1056</v>
      </c>
      <c r="J251" s="20">
        <v>43516</v>
      </c>
      <c r="K251" s="24">
        <v>8000</v>
      </c>
      <c r="L251">
        <f t="shared" si="13"/>
        <v>43606</v>
      </c>
    </row>
    <row r="252" spans="1:12" x14ac:dyDescent="0.25">
      <c r="A252" s="20">
        <v>43337</v>
      </c>
      <c r="B252" s="3">
        <v>1409272</v>
      </c>
      <c r="C252" s="20">
        <v>43508</v>
      </c>
      <c r="D252" s="21" t="s">
        <v>900</v>
      </c>
      <c r="E252" s="21" t="s">
        <v>901</v>
      </c>
      <c r="F252" s="21" t="s">
        <v>212</v>
      </c>
      <c r="G252" s="3" t="s">
        <v>321</v>
      </c>
      <c r="H252" s="22" t="s">
        <v>250</v>
      </c>
      <c r="I252" s="3">
        <v>1058</v>
      </c>
      <c r="J252" s="20">
        <v>43534</v>
      </c>
      <c r="K252" s="24">
        <v>9000</v>
      </c>
      <c r="L252">
        <f t="shared" si="13"/>
        <v>43624</v>
      </c>
    </row>
    <row r="253" spans="1:12" x14ac:dyDescent="0.25">
      <c r="A253" s="20">
        <v>43337</v>
      </c>
      <c r="B253" s="3">
        <v>1409273</v>
      </c>
      <c r="C253" s="20">
        <v>43508</v>
      </c>
      <c r="D253" s="21" t="s">
        <v>902</v>
      </c>
      <c r="E253" s="21" t="s">
        <v>903</v>
      </c>
      <c r="F253" s="21" t="s">
        <v>212</v>
      </c>
      <c r="G253" s="3" t="s">
        <v>890</v>
      </c>
      <c r="H253" s="22" t="s">
        <v>124</v>
      </c>
      <c r="I253" s="3">
        <v>1059</v>
      </c>
      <c r="J253" s="20">
        <v>43534</v>
      </c>
      <c r="K253" s="24">
        <v>9000</v>
      </c>
      <c r="L253">
        <f t="shared" si="13"/>
        <v>43624</v>
      </c>
    </row>
    <row r="254" spans="1:12" x14ac:dyDescent="0.25">
      <c r="A254" s="20">
        <v>43337</v>
      </c>
      <c r="B254" s="3">
        <v>1409274</v>
      </c>
      <c r="C254" s="20">
        <v>43516</v>
      </c>
      <c r="D254" s="21" t="s">
        <v>904</v>
      </c>
      <c r="F254" s="21" t="s">
        <v>253</v>
      </c>
      <c r="G254" s="3" t="s">
        <v>286</v>
      </c>
      <c r="H254" s="22" t="s">
        <v>512</v>
      </c>
      <c r="I254" s="3">
        <v>1057</v>
      </c>
      <c r="J254" s="20">
        <v>43530</v>
      </c>
      <c r="K254" s="24">
        <v>3500</v>
      </c>
      <c r="L254">
        <f t="shared" si="13"/>
        <v>43620</v>
      </c>
    </row>
    <row r="255" spans="1:12" x14ac:dyDescent="0.25">
      <c r="A255" s="20">
        <v>43337</v>
      </c>
      <c r="B255" s="3">
        <v>1409275</v>
      </c>
      <c r="C255" s="20">
        <v>43516</v>
      </c>
      <c r="D255" s="21" t="s">
        <v>905</v>
      </c>
      <c r="E255" s="21" t="s">
        <v>906</v>
      </c>
      <c r="F255" s="21" t="s">
        <v>204</v>
      </c>
      <c r="G255" s="3" t="s">
        <v>286</v>
      </c>
      <c r="H255" s="22" t="s">
        <v>512</v>
      </c>
      <c r="I255" s="3">
        <v>1064</v>
      </c>
      <c r="J255" s="20">
        <v>43585</v>
      </c>
      <c r="K255" s="24">
        <v>15000</v>
      </c>
      <c r="L255">
        <f t="shared" si="13"/>
        <v>43675</v>
      </c>
    </row>
    <row r="256" spans="1:12" x14ac:dyDescent="0.25">
      <c r="A256" s="20">
        <v>43337</v>
      </c>
      <c r="B256" s="3">
        <v>1409276</v>
      </c>
      <c r="C256" s="20">
        <v>43530</v>
      </c>
      <c r="D256" s="21" t="s">
        <v>907</v>
      </c>
      <c r="F256" s="21" t="s">
        <v>294</v>
      </c>
      <c r="G256" s="3" t="s">
        <v>286</v>
      </c>
      <c r="H256" s="22" t="s">
        <v>512</v>
      </c>
      <c r="I256" s="3">
        <v>1065</v>
      </c>
      <c r="J256" s="20">
        <v>43585</v>
      </c>
      <c r="K256" s="24">
        <v>2500</v>
      </c>
      <c r="L256">
        <f t="shared" si="13"/>
        <v>43675</v>
      </c>
    </row>
    <row r="257" spans="1:12" x14ac:dyDescent="0.25">
      <c r="A257" s="20">
        <v>43337</v>
      </c>
      <c r="B257" s="3">
        <v>1409277</v>
      </c>
      <c r="C257" s="20">
        <v>43534</v>
      </c>
      <c r="D257" s="21" t="s">
        <v>908</v>
      </c>
      <c r="E257" s="21" t="s">
        <v>909</v>
      </c>
      <c r="F257" s="21" t="s">
        <v>212</v>
      </c>
      <c r="G257" s="3" t="s">
        <v>321</v>
      </c>
      <c r="H257" s="22" t="s">
        <v>250</v>
      </c>
      <c r="I257" s="3">
        <v>1062</v>
      </c>
      <c r="J257" s="20">
        <v>43582</v>
      </c>
      <c r="K257" s="24">
        <v>9000</v>
      </c>
      <c r="L257">
        <f t="shared" si="13"/>
        <v>43672</v>
      </c>
    </row>
    <row r="258" spans="1:12" x14ac:dyDescent="0.25">
      <c r="A258" s="20">
        <v>43337</v>
      </c>
      <c r="B258" s="3">
        <v>1409278</v>
      </c>
      <c r="C258" s="20">
        <v>43534</v>
      </c>
      <c r="D258" s="21" t="s">
        <v>910</v>
      </c>
      <c r="E258" s="21" t="s">
        <v>911</v>
      </c>
      <c r="F258" s="21" t="s">
        <v>212</v>
      </c>
      <c r="G258" s="3" t="s">
        <v>912</v>
      </c>
      <c r="H258" s="22" t="s">
        <v>124</v>
      </c>
      <c r="I258" s="3">
        <v>1060</v>
      </c>
      <c r="J258" s="20">
        <v>43568</v>
      </c>
      <c r="K258" s="24">
        <v>9000</v>
      </c>
      <c r="L258">
        <f t="shared" si="13"/>
        <v>43658</v>
      </c>
    </row>
    <row r="259" spans="1:12" x14ac:dyDescent="0.25">
      <c r="A259" s="20">
        <v>43337</v>
      </c>
      <c r="B259" s="3">
        <v>1409280</v>
      </c>
      <c r="C259" s="20">
        <v>43554</v>
      </c>
      <c r="D259" s="21" t="s">
        <v>913</v>
      </c>
      <c r="E259" s="21" t="s">
        <v>914</v>
      </c>
      <c r="F259" s="21" t="s">
        <v>284</v>
      </c>
      <c r="G259" s="3" t="s">
        <v>852</v>
      </c>
      <c r="H259" s="22" t="s">
        <v>126</v>
      </c>
      <c r="I259" s="3">
        <v>1061</v>
      </c>
      <c r="J259" s="20">
        <v>43581</v>
      </c>
      <c r="K259" s="24">
        <v>9000</v>
      </c>
      <c r="L259">
        <f t="shared" si="13"/>
        <v>43671</v>
      </c>
    </row>
    <row r="260" spans="1:12" x14ac:dyDescent="0.25">
      <c r="A260" s="20">
        <v>43337</v>
      </c>
      <c r="B260" s="3">
        <v>1409281</v>
      </c>
      <c r="C260" s="20">
        <v>43568</v>
      </c>
      <c r="D260" s="21" t="s">
        <v>915</v>
      </c>
      <c r="E260" s="21" t="s">
        <v>916</v>
      </c>
      <c r="F260" s="21" t="s">
        <v>212</v>
      </c>
      <c r="G260" s="3" t="s">
        <v>912</v>
      </c>
      <c r="H260" s="22" t="s">
        <v>124</v>
      </c>
      <c r="I260" s="3">
        <v>1063</v>
      </c>
      <c r="J260" s="20">
        <v>43584</v>
      </c>
      <c r="K260" s="24">
        <v>9000</v>
      </c>
      <c r="L260">
        <f t="shared" si="13"/>
        <v>43674</v>
      </c>
    </row>
    <row r="261" spans="1:12" x14ac:dyDescent="0.25">
      <c r="A261" s="20">
        <v>43337</v>
      </c>
      <c r="B261" s="3">
        <v>1409285</v>
      </c>
      <c r="C261" s="20">
        <v>43581</v>
      </c>
      <c r="D261" s="21" t="s">
        <v>917</v>
      </c>
      <c r="E261" s="21" t="s">
        <v>918</v>
      </c>
      <c r="F261" s="21" t="s">
        <v>876</v>
      </c>
      <c r="G261" s="3" t="s">
        <v>852</v>
      </c>
      <c r="H261" s="22" t="s">
        <v>126</v>
      </c>
      <c r="I261" s="3">
        <v>1070</v>
      </c>
      <c r="J261" s="20">
        <v>43595</v>
      </c>
      <c r="K261" s="24">
        <v>5000</v>
      </c>
      <c r="L261">
        <f t="shared" si="13"/>
        <v>43685</v>
      </c>
    </row>
    <row r="262" spans="1:12" x14ac:dyDescent="0.25">
      <c r="A262" s="20">
        <v>43337</v>
      </c>
      <c r="B262" s="3">
        <v>1409282</v>
      </c>
      <c r="C262" s="20">
        <v>43582</v>
      </c>
      <c r="D262" s="21" t="s">
        <v>919</v>
      </c>
      <c r="F262" s="21" t="s">
        <v>212</v>
      </c>
      <c r="G262" s="3" t="s">
        <v>321</v>
      </c>
      <c r="H262" s="22" t="s">
        <v>250</v>
      </c>
      <c r="I262" s="3">
        <v>1066</v>
      </c>
      <c r="J262" s="20">
        <v>43588</v>
      </c>
      <c r="K262" s="24">
        <v>9000</v>
      </c>
      <c r="L262">
        <f t="shared" si="13"/>
        <v>43678</v>
      </c>
    </row>
    <row r="263" spans="1:12" x14ac:dyDescent="0.25">
      <c r="A263" s="20">
        <v>43337</v>
      </c>
      <c r="B263" s="3">
        <v>1409286</v>
      </c>
      <c r="C263" s="20">
        <v>43587</v>
      </c>
      <c r="D263" s="21" t="s">
        <v>920</v>
      </c>
      <c r="E263" s="21" t="s">
        <v>921</v>
      </c>
      <c r="F263" s="21" t="s">
        <v>212</v>
      </c>
      <c r="G263" s="3" t="s">
        <v>912</v>
      </c>
      <c r="H263" s="22" t="s">
        <v>124</v>
      </c>
      <c r="I263" s="3">
        <v>1073</v>
      </c>
      <c r="J263" s="20">
        <v>43609</v>
      </c>
      <c r="K263" s="24">
        <v>9000</v>
      </c>
      <c r="L263">
        <f t="shared" si="13"/>
        <v>43699</v>
      </c>
    </row>
    <row r="264" spans="1:12" x14ac:dyDescent="0.25">
      <c r="A264" s="20">
        <v>43337</v>
      </c>
      <c r="B264" s="3">
        <v>1409287</v>
      </c>
      <c r="C264" s="20">
        <v>43588</v>
      </c>
      <c r="D264" s="21" t="s">
        <v>922</v>
      </c>
      <c r="E264" s="21" t="s">
        <v>923</v>
      </c>
      <c r="F264" s="21" t="s">
        <v>212</v>
      </c>
      <c r="G264" s="3" t="s">
        <v>321</v>
      </c>
      <c r="H264" s="22" t="s">
        <v>250</v>
      </c>
      <c r="I264" s="3">
        <v>1071</v>
      </c>
      <c r="J264" s="20">
        <v>43605</v>
      </c>
      <c r="K264" s="24">
        <v>9000</v>
      </c>
      <c r="L264">
        <f t="shared" si="13"/>
        <v>43695</v>
      </c>
    </row>
    <row r="265" spans="1:12" x14ac:dyDescent="0.25">
      <c r="A265" s="20">
        <v>43337</v>
      </c>
      <c r="B265" s="3">
        <v>1409279</v>
      </c>
      <c r="C265" s="20">
        <v>43591</v>
      </c>
      <c r="D265" s="21" t="s">
        <v>924</v>
      </c>
      <c r="F265" s="21" t="s">
        <v>253</v>
      </c>
      <c r="G265" s="3" t="s">
        <v>286</v>
      </c>
      <c r="H265" s="22" t="s">
        <v>259</v>
      </c>
      <c r="I265" s="3">
        <v>1067</v>
      </c>
      <c r="J265" s="20">
        <v>43591</v>
      </c>
      <c r="K265" s="24">
        <v>3500</v>
      </c>
      <c r="L265">
        <f t="shared" si="13"/>
        <v>43681</v>
      </c>
    </row>
    <row r="266" spans="1:12" x14ac:dyDescent="0.25">
      <c r="A266" s="20">
        <v>43337</v>
      </c>
      <c r="B266" s="3">
        <v>1409283</v>
      </c>
      <c r="C266" s="20">
        <v>43591</v>
      </c>
      <c r="D266" s="21" t="s">
        <v>925</v>
      </c>
      <c r="F266" s="21" t="s">
        <v>255</v>
      </c>
      <c r="G266" s="3" t="s">
        <v>286</v>
      </c>
      <c r="H266" s="22" t="s">
        <v>259</v>
      </c>
      <c r="I266" s="3">
        <v>1068</v>
      </c>
      <c r="J266" s="20">
        <v>43591</v>
      </c>
      <c r="K266" s="24">
        <v>8000</v>
      </c>
      <c r="L266">
        <f t="shared" si="13"/>
        <v>43681</v>
      </c>
    </row>
    <row r="267" spans="1:12" x14ac:dyDescent="0.25">
      <c r="A267" s="20">
        <v>43337</v>
      </c>
      <c r="B267" s="3">
        <v>1409284</v>
      </c>
      <c r="C267" s="20">
        <v>43595</v>
      </c>
      <c r="D267" s="21" t="s">
        <v>926</v>
      </c>
      <c r="F267" s="21" t="s">
        <v>257</v>
      </c>
      <c r="G267" s="3" t="s">
        <v>286</v>
      </c>
      <c r="H267" s="22" t="s">
        <v>259</v>
      </c>
      <c r="I267" s="3">
        <v>1069</v>
      </c>
      <c r="J267" s="20">
        <v>43595</v>
      </c>
      <c r="K267" s="24">
        <v>2500</v>
      </c>
      <c r="L267">
        <f t="shared" si="13"/>
        <v>43685</v>
      </c>
    </row>
    <row r="268" spans="1:12" x14ac:dyDescent="0.25">
      <c r="A268" s="20">
        <v>43337</v>
      </c>
      <c r="B268" s="3">
        <v>1409288</v>
      </c>
      <c r="C268" s="20">
        <v>43595</v>
      </c>
      <c r="D268" s="21" t="s">
        <v>927</v>
      </c>
      <c r="E268" s="21" t="s">
        <v>928</v>
      </c>
      <c r="F268" s="21" t="s">
        <v>284</v>
      </c>
      <c r="G268" s="3" t="s">
        <v>852</v>
      </c>
      <c r="H268" s="22" t="s">
        <v>126</v>
      </c>
      <c r="I268" s="3">
        <v>1074</v>
      </c>
      <c r="J268" s="20">
        <v>43617</v>
      </c>
      <c r="K268" s="24">
        <v>9000</v>
      </c>
      <c r="L268">
        <f t="shared" si="13"/>
        <v>43707</v>
      </c>
    </row>
    <row r="269" spans="1:12" x14ac:dyDescent="0.25">
      <c r="A269" s="20">
        <v>43337</v>
      </c>
      <c r="B269" s="3">
        <v>1409289</v>
      </c>
      <c r="C269" s="20">
        <v>43601</v>
      </c>
      <c r="D269" s="21" t="s">
        <v>929</v>
      </c>
      <c r="E269" s="21" t="s">
        <v>930</v>
      </c>
      <c r="F269" s="21" t="s">
        <v>211</v>
      </c>
      <c r="G269" s="3" t="s">
        <v>286</v>
      </c>
      <c r="H269" s="22" t="s">
        <v>259</v>
      </c>
      <c r="I269" s="3">
        <v>1072</v>
      </c>
      <c r="J269" s="20">
        <v>43607</v>
      </c>
      <c r="K269" s="24">
        <v>10000</v>
      </c>
      <c r="L269">
        <f t="shared" si="13"/>
        <v>43697</v>
      </c>
    </row>
    <row r="270" spans="1:12" x14ac:dyDescent="0.25">
      <c r="A270" s="20">
        <v>43337</v>
      </c>
      <c r="B270" s="3">
        <v>1409290</v>
      </c>
      <c r="C270" s="20">
        <v>43607</v>
      </c>
      <c r="D270" s="21" t="s">
        <v>931</v>
      </c>
      <c r="E270" s="21" t="s">
        <v>932</v>
      </c>
      <c r="F270" s="21" t="s">
        <v>211</v>
      </c>
      <c r="G270" s="3" t="s">
        <v>286</v>
      </c>
      <c r="H270" s="22" t="s">
        <v>259</v>
      </c>
      <c r="I270" s="3">
        <v>1075</v>
      </c>
      <c r="J270" s="20">
        <v>43626</v>
      </c>
      <c r="K270" s="24">
        <v>10000</v>
      </c>
      <c r="L270">
        <f t="shared" si="13"/>
        <v>43716</v>
      </c>
    </row>
    <row r="271" spans="1:12" x14ac:dyDescent="0.25">
      <c r="A271" s="20">
        <v>43337</v>
      </c>
      <c r="B271" s="3">
        <v>1409291</v>
      </c>
      <c r="C271" s="20">
        <v>43609</v>
      </c>
      <c r="D271" s="21" t="s">
        <v>933</v>
      </c>
      <c r="E271" s="21" t="s">
        <v>934</v>
      </c>
      <c r="F271" s="21" t="s">
        <v>292</v>
      </c>
      <c r="G271" s="3" t="s">
        <v>912</v>
      </c>
      <c r="H271" s="22" t="s">
        <v>124</v>
      </c>
      <c r="I271" s="3">
        <v>1076</v>
      </c>
      <c r="J271" s="20">
        <v>43631</v>
      </c>
      <c r="K271" s="24">
        <v>5000</v>
      </c>
      <c r="L271">
        <f t="shared" si="13"/>
        <v>43721</v>
      </c>
    </row>
    <row r="272" spans="1:12" x14ac:dyDescent="0.25">
      <c r="A272" s="20">
        <v>43337</v>
      </c>
      <c r="B272" s="3">
        <v>1409292</v>
      </c>
      <c r="C272" s="20">
        <v>43612</v>
      </c>
      <c r="D272" s="21" t="s">
        <v>935</v>
      </c>
      <c r="E272" s="21" t="s">
        <v>936</v>
      </c>
      <c r="F272" s="21" t="s">
        <v>876</v>
      </c>
      <c r="G272" s="3" t="s">
        <v>321</v>
      </c>
      <c r="H272" s="22" t="s">
        <v>250</v>
      </c>
      <c r="I272" s="3">
        <v>1077</v>
      </c>
      <c r="J272" s="20">
        <v>43631</v>
      </c>
      <c r="K272" s="24">
        <v>5000</v>
      </c>
      <c r="L272">
        <f t="shared" si="13"/>
        <v>43721</v>
      </c>
    </row>
    <row r="273" spans="1:12" x14ac:dyDescent="0.25">
      <c r="A273" s="20">
        <v>43337</v>
      </c>
      <c r="B273" s="3">
        <v>1409293</v>
      </c>
      <c r="C273" s="20">
        <v>43617</v>
      </c>
      <c r="D273" s="21" t="s">
        <v>937</v>
      </c>
      <c r="E273" s="21" t="s">
        <v>938</v>
      </c>
      <c r="F273" s="21" t="s">
        <v>876</v>
      </c>
      <c r="G273" s="3" t="s">
        <v>852</v>
      </c>
      <c r="H273" s="22" t="s">
        <v>126</v>
      </c>
      <c r="I273" s="3">
        <v>1079</v>
      </c>
      <c r="J273" s="20">
        <v>43635</v>
      </c>
      <c r="K273" s="24">
        <v>5000</v>
      </c>
      <c r="L273">
        <f t="shared" si="13"/>
        <v>43725</v>
      </c>
    </row>
    <row r="274" spans="1:12" x14ac:dyDescent="0.25">
      <c r="A274" s="20">
        <v>43337</v>
      </c>
      <c r="B274" s="3">
        <v>1409294</v>
      </c>
      <c r="C274" s="20">
        <v>43626</v>
      </c>
      <c r="D274" s="21" t="s">
        <v>939</v>
      </c>
      <c r="F274" s="21" t="s">
        <v>323</v>
      </c>
      <c r="G274" s="3" t="s">
        <v>286</v>
      </c>
      <c r="H274" s="22" t="s">
        <v>259</v>
      </c>
      <c r="I274" s="3">
        <v>1078</v>
      </c>
      <c r="J274" s="20">
        <v>43632</v>
      </c>
      <c r="K274" s="24">
        <v>3500</v>
      </c>
      <c r="L274">
        <f t="shared" si="13"/>
        <v>43722</v>
      </c>
    </row>
    <row r="275" spans="1:12" x14ac:dyDescent="0.25">
      <c r="A275" s="20">
        <v>43337</v>
      </c>
      <c r="B275" s="3">
        <v>1409295</v>
      </c>
      <c r="C275" s="20">
        <v>43631</v>
      </c>
      <c r="D275" s="21" t="s">
        <v>940</v>
      </c>
      <c r="E275" s="21" t="s">
        <v>941</v>
      </c>
      <c r="F275" s="21" t="s">
        <v>876</v>
      </c>
      <c r="G275" s="3" t="s">
        <v>912</v>
      </c>
      <c r="H275" s="22" t="s">
        <v>124</v>
      </c>
      <c r="I275" s="3">
        <v>1080</v>
      </c>
      <c r="J275" s="20">
        <v>43645</v>
      </c>
      <c r="K275" s="24">
        <v>5000</v>
      </c>
      <c r="L275">
        <f>J275+90</f>
        <v>43735</v>
      </c>
    </row>
    <row r="276" spans="1:12" x14ac:dyDescent="0.25">
      <c r="A276" s="20">
        <v>43337</v>
      </c>
      <c r="B276" s="3">
        <v>1409296</v>
      </c>
      <c r="C276" s="20">
        <v>43631</v>
      </c>
      <c r="D276" s="21" t="s">
        <v>942</v>
      </c>
      <c r="E276" s="21" t="s">
        <v>943</v>
      </c>
      <c r="F276" s="21" t="s">
        <v>876</v>
      </c>
      <c r="G276" s="3" t="s">
        <v>321</v>
      </c>
      <c r="H276" s="22" t="s">
        <v>250</v>
      </c>
      <c r="I276" s="3">
        <v>1081</v>
      </c>
      <c r="J276" s="20">
        <v>43645</v>
      </c>
      <c r="K276" s="24">
        <v>5000</v>
      </c>
      <c r="L276">
        <f>J276+90</f>
        <v>43735</v>
      </c>
    </row>
    <row r="277" spans="1:12" x14ac:dyDescent="0.25">
      <c r="A277" s="20">
        <v>43337</v>
      </c>
      <c r="B277" s="3">
        <v>1409297</v>
      </c>
      <c r="C277" s="20">
        <v>43632</v>
      </c>
      <c r="D277" s="21" t="s">
        <v>944</v>
      </c>
      <c r="F277" s="21" t="s">
        <v>203</v>
      </c>
      <c r="G277" s="3" t="s">
        <v>286</v>
      </c>
      <c r="H277" s="22" t="s">
        <v>259</v>
      </c>
      <c r="I277" s="3">
        <v>1089</v>
      </c>
      <c r="J277" s="20">
        <v>43685</v>
      </c>
      <c r="K277" s="24">
        <v>5000</v>
      </c>
      <c r="L277">
        <f>J277+90</f>
        <v>43775</v>
      </c>
    </row>
    <row r="278" spans="1:12" x14ac:dyDescent="0.25">
      <c r="A278" s="20">
        <v>43337</v>
      </c>
      <c r="B278" s="3">
        <v>1409298</v>
      </c>
      <c r="C278" s="20">
        <v>43632</v>
      </c>
      <c r="D278" s="21" t="s">
        <v>945</v>
      </c>
      <c r="F278" s="21" t="s">
        <v>213</v>
      </c>
      <c r="G278" s="3" t="s">
        <v>286</v>
      </c>
      <c r="H278" s="22" t="s">
        <v>259</v>
      </c>
      <c r="I278" s="3">
        <v>1090</v>
      </c>
      <c r="J278" s="20">
        <v>43685</v>
      </c>
      <c r="K278" s="24">
        <v>12000</v>
      </c>
      <c r="L278">
        <f>J278+90</f>
        <v>43775</v>
      </c>
    </row>
    <row r="279" spans="1:12" x14ac:dyDescent="0.25">
      <c r="A279" s="20">
        <v>43337</v>
      </c>
      <c r="B279" s="3">
        <v>1409299</v>
      </c>
      <c r="C279" s="20">
        <v>43635</v>
      </c>
      <c r="D279" s="21" t="s">
        <v>946</v>
      </c>
      <c r="E279" s="21" t="s">
        <v>947</v>
      </c>
      <c r="F279" s="21" t="s">
        <v>876</v>
      </c>
      <c r="G279" s="3" t="s">
        <v>852</v>
      </c>
      <c r="H279" s="22" t="s">
        <v>126</v>
      </c>
      <c r="I279" s="3">
        <v>1082</v>
      </c>
      <c r="J279" s="20">
        <v>43650</v>
      </c>
      <c r="K279" s="24">
        <v>5000</v>
      </c>
      <c r="L279">
        <f t="shared" ref="L279:L284" si="14">J279+90</f>
        <v>43740</v>
      </c>
    </row>
    <row r="280" spans="1:12" x14ac:dyDescent="0.25">
      <c r="A280" s="20">
        <v>43337</v>
      </c>
      <c r="B280" s="3">
        <v>1409300</v>
      </c>
      <c r="C280" s="20">
        <v>43645</v>
      </c>
      <c r="D280" s="21" t="s">
        <v>948</v>
      </c>
      <c r="E280" s="21" t="s">
        <v>949</v>
      </c>
      <c r="F280" s="21" t="s">
        <v>284</v>
      </c>
      <c r="G280" s="3" t="s">
        <v>912</v>
      </c>
      <c r="H280" s="22" t="s">
        <v>124</v>
      </c>
      <c r="I280" s="3">
        <v>1083</v>
      </c>
      <c r="J280" s="20">
        <v>43664</v>
      </c>
      <c r="K280" s="24">
        <v>9000</v>
      </c>
      <c r="L280">
        <f t="shared" si="14"/>
        <v>43754</v>
      </c>
    </row>
    <row r="281" spans="1:12" x14ac:dyDescent="0.25">
      <c r="A281" s="20">
        <v>43650</v>
      </c>
      <c r="B281" s="3">
        <v>1513151</v>
      </c>
      <c r="C281" s="20">
        <v>43650</v>
      </c>
      <c r="D281" s="21" t="s">
        <v>950</v>
      </c>
      <c r="F281" s="21" t="s">
        <v>284</v>
      </c>
      <c r="G281" s="3" t="s">
        <v>321</v>
      </c>
      <c r="H281" s="22" t="s">
        <v>250</v>
      </c>
      <c r="I281" s="3">
        <v>1087</v>
      </c>
      <c r="J281" s="20">
        <v>43684</v>
      </c>
      <c r="K281" s="24">
        <v>9000</v>
      </c>
      <c r="L281">
        <f t="shared" si="14"/>
        <v>43774</v>
      </c>
    </row>
    <row r="282" spans="1:12" x14ac:dyDescent="0.25">
      <c r="A282" s="20">
        <v>43650</v>
      </c>
      <c r="B282" s="3">
        <v>1513152</v>
      </c>
      <c r="C282" s="20">
        <v>43650</v>
      </c>
      <c r="D282" s="21" t="s">
        <v>951</v>
      </c>
      <c r="E282" s="21" t="s">
        <v>952</v>
      </c>
      <c r="F282" s="21" t="s">
        <v>876</v>
      </c>
      <c r="G282" s="3" t="s">
        <v>852</v>
      </c>
      <c r="H282" s="22" t="s">
        <v>126</v>
      </c>
      <c r="I282" s="3">
        <v>1084</v>
      </c>
      <c r="J282" s="20">
        <v>43671</v>
      </c>
      <c r="K282" s="24">
        <v>5000</v>
      </c>
      <c r="L282">
        <f t="shared" si="14"/>
        <v>43761</v>
      </c>
    </row>
    <row r="283" spans="1:12" x14ac:dyDescent="0.25">
      <c r="A283" s="20">
        <v>43650</v>
      </c>
      <c r="B283" s="3">
        <v>1513153</v>
      </c>
      <c r="C283" s="20">
        <v>43670</v>
      </c>
      <c r="D283" s="21" t="s">
        <v>953</v>
      </c>
      <c r="E283" s="21" t="s">
        <v>954</v>
      </c>
      <c r="F283" s="21" t="s">
        <v>284</v>
      </c>
      <c r="G283" s="3" t="s">
        <v>912</v>
      </c>
      <c r="H283" s="22" t="s">
        <v>124</v>
      </c>
      <c r="I283" s="3">
        <v>1085</v>
      </c>
      <c r="J283" s="20">
        <v>43680</v>
      </c>
      <c r="K283" s="24">
        <v>9000</v>
      </c>
      <c r="L283">
        <f t="shared" si="14"/>
        <v>43770</v>
      </c>
    </row>
    <row r="284" spans="1:12" x14ac:dyDescent="0.25">
      <c r="A284" s="20">
        <v>43650</v>
      </c>
      <c r="B284" s="3">
        <v>1513154</v>
      </c>
      <c r="C284" s="20">
        <v>43671</v>
      </c>
      <c r="D284" s="21" t="s">
        <v>955</v>
      </c>
      <c r="E284" s="21" t="s">
        <v>956</v>
      </c>
      <c r="F284" s="21" t="s">
        <v>284</v>
      </c>
      <c r="G284" s="3" t="s">
        <v>852</v>
      </c>
      <c r="H284" s="22" t="s">
        <v>126</v>
      </c>
      <c r="I284" s="3">
        <v>1086</v>
      </c>
      <c r="J284" s="20">
        <v>43683</v>
      </c>
      <c r="K284" s="24">
        <v>9000</v>
      </c>
      <c r="L284">
        <f t="shared" si="14"/>
        <v>43773</v>
      </c>
    </row>
    <row r="285" spans="1:12" x14ac:dyDescent="0.25">
      <c r="A285" s="20">
        <v>43650</v>
      </c>
      <c r="B285" s="3">
        <v>1513155</v>
      </c>
      <c r="C285" s="20">
        <v>43680</v>
      </c>
      <c r="D285" s="21" t="s">
        <v>957</v>
      </c>
      <c r="E285" s="21" t="s">
        <v>958</v>
      </c>
      <c r="F285" s="21" t="s">
        <v>284</v>
      </c>
      <c r="G285" s="3" t="s">
        <v>912</v>
      </c>
      <c r="H285" s="22" t="s">
        <v>124</v>
      </c>
      <c r="I285" s="3">
        <v>1091</v>
      </c>
      <c r="J285" s="20">
        <v>43694</v>
      </c>
      <c r="K285" s="24">
        <v>9000</v>
      </c>
      <c r="L285">
        <f>J285+90</f>
        <v>43784</v>
      </c>
    </row>
    <row r="286" spans="1:12" x14ac:dyDescent="0.25">
      <c r="A286" s="20">
        <v>43650</v>
      </c>
      <c r="B286" s="3">
        <v>1513156</v>
      </c>
      <c r="C286" s="20">
        <v>43684</v>
      </c>
      <c r="D286" s="21" t="s">
        <v>959</v>
      </c>
      <c r="F286" s="21" t="s">
        <v>292</v>
      </c>
      <c r="G286" s="3" t="s">
        <v>321</v>
      </c>
      <c r="H286" s="22" t="s">
        <v>250</v>
      </c>
      <c r="I286" s="3">
        <v>1088</v>
      </c>
      <c r="J286" s="20">
        <v>43684</v>
      </c>
      <c r="K286" s="24">
        <v>5000</v>
      </c>
      <c r="L286">
        <f>J286+90</f>
        <v>43774</v>
      </c>
    </row>
    <row r="287" spans="1:12" x14ac:dyDescent="0.25">
      <c r="A287" s="20">
        <v>43650</v>
      </c>
      <c r="B287" s="3">
        <v>1513157</v>
      </c>
      <c r="C287" s="20">
        <v>43691</v>
      </c>
      <c r="D287" s="21" t="s">
        <v>960</v>
      </c>
      <c r="E287" s="21" t="s">
        <v>961</v>
      </c>
      <c r="F287" s="21" t="s">
        <v>284</v>
      </c>
      <c r="G287" s="3" t="s">
        <v>852</v>
      </c>
      <c r="H287" s="22" t="s">
        <v>126</v>
      </c>
      <c r="I287" s="3">
        <v>1092</v>
      </c>
      <c r="J287" s="20">
        <v>43703</v>
      </c>
      <c r="K287" s="24">
        <v>9000</v>
      </c>
      <c r="L287">
        <f>J287+90</f>
        <v>43793</v>
      </c>
    </row>
    <row r="288" spans="1:12" x14ac:dyDescent="0.25">
      <c r="A288" s="20">
        <v>43650</v>
      </c>
      <c r="B288" s="3">
        <v>1513158</v>
      </c>
      <c r="C288" s="20">
        <v>43694</v>
      </c>
      <c r="D288" s="21" t="s">
        <v>962</v>
      </c>
      <c r="E288" s="21" t="s">
        <v>963</v>
      </c>
      <c r="F288" s="21" t="s">
        <v>284</v>
      </c>
      <c r="G288" s="3" t="s">
        <v>912</v>
      </c>
      <c r="H288" s="22" t="s">
        <v>124</v>
      </c>
    </row>
    <row r="289" spans="1:12" x14ac:dyDescent="0.25">
      <c r="A289" s="20">
        <v>43650</v>
      </c>
      <c r="B289" s="3">
        <v>1513159</v>
      </c>
      <c r="C289" s="20">
        <v>43699</v>
      </c>
      <c r="D289" s="21" t="s">
        <v>964</v>
      </c>
      <c r="F289" s="21" t="s">
        <v>876</v>
      </c>
      <c r="G289" s="3" t="s">
        <v>321</v>
      </c>
      <c r="H289" s="22" t="s">
        <v>250</v>
      </c>
      <c r="I289" s="3">
        <v>1093</v>
      </c>
      <c r="J289" s="20">
        <v>43708</v>
      </c>
      <c r="K289" s="24">
        <v>5000</v>
      </c>
      <c r="L289">
        <f t="shared" ref="L289:L295" si="15">J289+90</f>
        <v>43798</v>
      </c>
    </row>
    <row r="290" spans="1:12" x14ac:dyDescent="0.25">
      <c r="A290" s="20">
        <v>43650</v>
      </c>
      <c r="B290" s="3">
        <v>1513160</v>
      </c>
      <c r="C290" s="20">
        <v>43703</v>
      </c>
      <c r="D290" s="21" t="s">
        <v>965</v>
      </c>
      <c r="E290" s="21" t="s">
        <v>966</v>
      </c>
      <c r="F290" s="21" t="s">
        <v>284</v>
      </c>
      <c r="G290" s="3" t="s">
        <v>852</v>
      </c>
      <c r="H290" s="22" t="s">
        <v>126</v>
      </c>
      <c r="I290" s="3">
        <v>1094</v>
      </c>
      <c r="J290" s="20">
        <v>43717</v>
      </c>
      <c r="K290" s="24">
        <v>9000</v>
      </c>
      <c r="L290">
        <f t="shared" si="15"/>
        <v>43807</v>
      </c>
    </row>
    <row r="291" spans="1:12" x14ac:dyDescent="0.25">
      <c r="A291" s="20">
        <v>43650</v>
      </c>
      <c r="B291" s="3">
        <v>1513161</v>
      </c>
      <c r="C291" s="20">
        <v>43708</v>
      </c>
      <c r="D291" s="21" t="s">
        <v>967</v>
      </c>
      <c r="E291" s="21" t="s">
        <v>968</v>
      </c>
      <c r="F291" s="21" t="s">
        <v>284</v>
      </c>
      <c r="G291" s="3" t="s">
        <v>321</v>
      </c>
      <c r="H291" s="22" t="s">
        <v>250</v>
      </c>
      <c r="I291" s="3">
        <v>1095</v>
      </c>
      <c r="J291" s="20">
        <v>43722</v>
      </c>
      <c r="K291" s="24">
        <v>9000</v>
      </c>
      <c r="L291">
        <f t="shared" si="15"/>
        <v>43812</v>
      </c>
    </row>
    <row r="292" spans="1:12" x14ac:dyDescent="0.25">
      <c r="A292" s="20">
        <v>43650</v>
      </c>
      <c r="B292" s="3">
        <v>1513162</v>
      </c>
      <c r="C292" s="20">
        <v>43717</v>
      </c>
      <c r="D292" s="21" t="s">
        <v>969</v>
      </c>
      <c r="E292" s="21" t="s">
        <v>970</v>
      </c>
      <c r="F292" s="21" t="s">
        <v>284</v>
      </c>
      <c r="G292" s="3" t="s">
        <v>852</v>
      </c>
      <c r="H292" s="22" t="s">
        <v>126</v>
      </c>
      <c r="I292" s="3">
        <v>1099</v>
      </c>
      <c r="J292" s="20">
        <v>43746</v>
      </c>
      <c r="K292" s="24">
        <v>9000</v>
      </c>
      <c r="L292">
        <f t="shared" si="15"/>
        <v>43836</v>
      </c>
    </row>
    <row r="293" spans="1:12" x14ac:dyDescent="0.25">
      <c r="A293" s="20">
        <v>43650</v>
      </c>
      <c r="B293" s="3">
        <v>1513163</v>
      </c>
      <c r="C293" s="20">
        <v>43722</v>
      </c>
      <c r="D293" s="21" t="s">
        <v>971</v>
      </c>
      <c r="E293" s="21" t="s">
        <v>972</v>
      </c>
      <c r="F293" s="21" t="s">
        <v>284</v>
      </c>
      <c r="G293" s="3" t="s">
        <v>912</v>
      </c>
      <c r="H293" s="22" t="s">
        <v>124</v>
      </c>
      <c r="I293" s="3">
        <v>1097</v>
      </c>
      <c r="J293" s="20">
        <v>43739</v>
      </c>
      <c r="K293" s="24">
        <v>9000</v>
      </c>
      <c r="L293">
        <f t="shared" si="15"/>
        <v>43829</v>
      </c>
    </row>
    <row r="294" spans="1:12" x14ac:dyDescent="0.25">
      <c r="A294" s="20">
        <v>43650</v>
      </c>
      <c r="B294" s="3">
        <v>1513167</v>
      </c>
      <c r="C294" s="20">
        <v>43722</v>
      </c>
      <c r="D294" s="21" t="s">
        <v>973</v>
      </c>
      <c r="E294" s="21" t="s">
        <v>974</v>
      </c>
      <c r="F294" s="21" t="s">
        <v>284</v>
      </c>
      <c r="G294" s="3" t="s">
        <v>321</v>
      </c>
      <c r="H294" s="22" t="s">
        <v>250</v>
      </c>
      <c r="I294" s="3">
        <v>1098</v>
      </c>
      <c r="J294" s="20">
        <v>43741</v>
      </c>
      <c r="K294" s="24">
        <v>9000</v>
      </c>
      <c r="L294">
        <f t="shared" si="15"/>
        <v>43831</v>
      </c>
    </row>
    <row r="295" spans="1:12" x14ac:dyDescent="0.25">
      <c r="A295" s="20">
        <v>43650</v>
      </c>
      <c r="B295" s="3">
        <v>1513165</v>
      </c>
      <c r="C295" s="20">
        <v>43723</v>
      </c>
      <c r="D295" s="21" t="s">
        <v>975</v>
      </c>
      <c r="F295" s="21" t="s">
        <v>976</v>
      </c>
      <c r="G295" s="3" t="s">
        <v>315</v>
      </c>
      <c r="H295" s="22" t="s">
        <v>548</v>
      </c>
      <c r="I295" s="3">
        <v>1096</v>
      </c>
      <c r="J295" s="20">
        <v>43723</v>
      </c>
      <c r="K295" s="24">
        <v>4500</v>
      </c>
      <c r="L295">
        <f t="shared" si="15"/>
        <v>43813</v>
      </c>
    </row>
    <row r="296" spans="1:12" x14ac:dyDescent="0.25">
      <c r="A296" s="20">
        <v>43650</v>
      </c>
      <c r="B296" s="3">
        <v>1513164</v>
      </c>
      <c r="C296" s="20">
        <v>43723</v>
      </c>
      <c r="D296" s="21" t="s">
        <v>977</v>
      </c>
      <c r="E296" s="21" t="s">
        <v>978</v>
      </c>
      <c r="F296" s="21" t="s">
        <v>292</v>
      </c>
      <c r="G296" s="3" t="s">
        <v>315</v>
      </c>
      <c r="H296" s="22" t="s">
        <v>548</v>
      </c>
    </row>
    <row r="297" spans="1:12" x14ac:dyDescent="0.25">
      <c r="A297" s="20">
        <v>43650</v>
      </c>
      <c r="B297" s="3">
        <v>1513168</v>
      </c>
      <c r="C297" s="20">
        <v>43723</v>
      </c>
      <c r="D297" s="21" t="s">
        <v>979</v>
      </c>
      <c r="F297" s="21" t="s">
        <v>258</v>
      </c>
      <c r="G297" s="3" t="s">
        <v>315</v>
      </c>
      <c r="H297" s="22" t="s">
        <v>548</v>
      </c>
    </row>
    <row r="298" spans="1:12" x14ac:dyDescent="0.25">
      <c r="A298" s="20">
        <v>43650</v>
      </c>
      <c r="B298" s="3">
        <v>1513171</v>
      </c>
      <c r="C298" s="20">
        <v>43741</v>
      </c>
      <c r="D298" s="21" t="s">
        <v>980</v>
      </c>
      <c r="F298" s="21" t="s">
        <v>876</v>
      </c>
      <c r="G298" s="3" t="s">
        <v>321</v>
      </c>
      <c r="H298" s="22" t="s">
        <v>128</v>
      </c>
      <c r="I298" s="3">
        <v>1101</v>
      </c>
      <c r="J298" s="20">
        <v>43752</v>
      </c>
      <c r="K298" s="24">
        <v>5000</v>
      </c>
      <c r="L298">
        <f>J298+90</f>
        <v>43842</v>
      </c>
    </row>
    <row r="299" spans="1:12" x14ac:dyDescent="0.25">
      <c r="A299" s="20">
        <v>43650</v>
      </c>
      <c r="B299" s="3">
        <v>1513172</v>
      </c>
      <c r="C299" s="20">
        <v>43741</v>
      </c>
      <c r="D299" s="21" t="s">
        <v>981</v>
      </c>
      <c r="F299" s="21" t="s">
        <v>255</v>
      </c>
      <c r="G299" s="3" t="s">
        <v>286</v>
      </c>
      <c r="H299" s="22" t="s">
        <v>605</v>
      </c>
      <c r="I299" s="3">
        <v>1102</v>
      </c>
      <c r="J299" s="20">
        <v>43752</v>
      </c>
      <c r="K299" s="24">
        <v>8000</v>
      </c>
      <c r="L299">
        <f>J299+90</f>
        <v>43842</v>
      </c>
    </row>
    <row r="300" spans="1:12" x14ac:dyDescent="0.25">
      <c r="A300" s="20">
        <v>43650</v>
      </c>
      <c r="B300" s="3">
        <v>1513173</v>
      </c>
      <c r="C300" s="20">
        <v>43742</v>
      </c>
      <c r="D300" s="21" t="s">
        <v>982</v>
      </c>
      <c r="F300" s="21" t="s">
        <v>876</v>
      </c>
      <c r="G300" s="3" t="s">
        <v>912</v>
      </c>
      <c r="H300" s="22" t="s">
        <v>124</v>
      </c>
      <c r="I300" s="3">
        <v>1103</v>
      </c>
      <c r="J300" s="20">
        <v>43757</v>
      </c>
      <c r="K300" s="24">
        <v>5000</v>
      </c>
      <c r="L300">
        <f>J300+90</f>
        <v>43847</v>
      </c>
    </row>
    <row r="301" spans="1:12" x14ac:dyDescent="0.25">
      <c r="A301" s="20">
        <v>43650</v>
      </c>
      <c r="B301" s="3">
        <v>1513169</v>
      </c>
      <c r="C301" s="20">
        <v>43746</v>
      </c>
      <c r="D301" s="21" t="s">
        <v>983</v>
      </c>
      <c r="E301" s="21" t="s">
        <v>984</v>
      </c>
      <c r="F301" s="21" t="s">
        <v>284</v>
      </c>
      <c r="G301" s="3" t="s">
        <v>852</v>
      </c>
      <c r="H301" s="22" t="s">
        <v>126</v>
      </c>
      <c r="I301" s="3">
        <v>1100</v>
      </c>
      <c r="J301" s="20">
        <v>43748</v>
      </c>
      <c r="K301" s="24">
        <v>9000</v>
      </c>
      <c r="L301">
        <f>J301+90</f>
        <v>43838</v>
      </c>
    </row>
    <row r="302" spans="1:12" x14ac:dyDescent="0.25">
      <c r="A302" s="20">
        <v>43650</v>
      </c>
      <c r="B302" s="3">
        <v>1513174</v>
      </c>
      <c r="C302" s="20">
        <v>43748</v>
      </c>
      <c r="D302" s="21" t="s">
        <v>985</v>
      </c>
      <c r="E302" s="21" t="s">
        <v>1005</v>
      </c>
      <c r="F302" s="21" t="s">
        <v>284</v>
      </c>
      <c r="G302" s="3" t="s">
        <v>852</v>
      </c>
      <c r="H302" s="22" t="s">
        <v>126</v>
      </c>
    </row>
    <row r="303" spans="1:12" x14ac:dyDescent="0.25">
      <c r="A303" s="20">
        <v>43650</v>
      </c>
      <c r="B303" s="3">
        <v>1513175</v>
      </c>
      <c r="C303" s="20">
        <v>43752</v>
      </c>
      <c r="D303" s="21" t="s">
        <v>1006</v>
      </c>
      <c r="F303" s="21" t="s">
        <v>294</v>
      </c>
      <c r="G303" s="3" t="s">
        <v>286</v>
      </c>
      <c r="H303" s="22" t="s">
        <v>605</v>
      </c>
      <c r="I303" s="3">
        <v>1104</v>
      </c>
      <c r="J303" s="20">
        <v>43764</v>
      </c>
      <c r="K303" s="24">
        <v>2500</v>
      </c>
      <c r="L303">
        <f>J303+90</f>
        <v>43854</v>
      </c>
    </row>
    <row r="304" spans="1:12" x14ac:dyDescent="0.25">
      <c r="A304" s="20">
        <v>43650</v>
      </c>
      <c r="B304" s="3">
        <v>1513176</v>
      </c>
      <c r="C304" s="20">
        <v>43752</v>
      </c>
      <c r="D304" s="21" t="s">
        <v>1007</v>
      </c>
      <c r="E304" s="21" t="s">
        <v>1008</v>
      </c>
      <c r="F304" s="21" t="s">
        <v>284</v>
      </c>
      <c r="G304" s="3" t="s">
        <v>321</v>
      </c>
      <c r="H304" s="22" t="s">
        <v>250</v>
      </c>
    </row>
    <row r="305" spans="1:8" x14ac:dyDescent="0.25">
      <c r="A305" s="20">
        <v>43650</v>
      </c>
      <c r="B305" s="3">
        <v>1513177</v>
      </c>
      <c r="C305" s="20">
        <v>43757</v>
      </c>
      <c r="D305" s="21" t="s">
        <v>1009</v>
      </c>
      <c r="E305" s="21" t="s">
        <v>1010</v>
      </c>
      <c r="F305" s="21" t="s">
        <v>284</v>
      </c>
      <c r="G305" s="3" t="s">
        <v>912</v>
      </c>
      <c r="H305" s="22" t="s">
        <v>124</v>
      </c>
    </row>
  </sheetData>
  <sortState xmlns:xlrd2="http://schemas.microsoft.com/office/spreadsheetml/2017/richdata2" ref="A2:M327">
    <sortCondition ref="L1"/>
  </sortState>
  <printOptions horizontalCentered="1" gridLines="1"/>
  <pageMargins left="0" right="0" top="0.25" bottom="0.25" header="0.3" footer="0.3"/>
  <pageSetup paperSize="9" scale="79" fitToHeight="10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102"/>
  <sheetViews>
    <sheetView topLeftCell="A34" workbookViewId="0">
      <selection activeCell="B22" sqref="B22"/>
    </sheetView>
  </sheetViews>
  <sheetFormatPr defaultRowHeight="15" x14ac:dyDescent="0.25"/>
  <cols>
    <col min="1" max="1" width="24.5703125" customWidth="1"/>
    <col min="2" max="2" width="32.7109375" customWidth="1"/>
    <col min="3" max="3" width="25.5703125" customWidth="1"/>
    <col min="4" max="4" width="37" customWidth="1"/>
    <col min="5" max="5" width="25.28515625" customWidth="1"/>
    <col min="6" max="6" width="14.28515625" customWidth="1"/>
  </cols>
  <sheetData>
    <row r="1" spans="1:7" x14ac:dyDescent="0.25">
      <c r="A1" t="s">
        <v>0</v>
      </c>
      <c r="B1" s="1">
        <f ca="1">NOW()</f>
        <v>45320.572457523151</v>
      </c>
      <c r="C1" t="s">
        <v>39</v>
      </c>
      <c r="D1" s="9">
        <f ca="1">G1-30</f>
        <v>45290</v>
      </c>
      <c r="E1" s="3" t="str">
        <f ca="1">TEXT(D1,"MMM")</f>
        <v>Dec</v>
      </c>
      <c r="F1" t="str">
        <f ca="1">E1&amp;" "&amp;E2&amp;C1&amp;E3</f>
        <v>Dec 23 - Overhead Amounts.xlsx</v>
      </c>
      <c r="G1" s="9">
        <f ca="1">TODAY()</f>
        <v>45320</v>
      </c>
    </row>
    <row r="2" spans="1:7" x14ac:dyDescent="0.25">
      <c r="A2" t="s">
        <v>1</v>
      </c>
      <c r="C2" t="s">
        <v>5</v>
      </c>
      <c r="D2" t="str">
        <f>B2&amp;C2</f>
        <v>.xlsm</v>
      </c>
      <c r="E2" s="3" t="str">
        <f ca="1">TEXT(D1,"YY")</f>
        <v>23</v>
      </c>
      <c r="F2" t="str">
        <f ca="1">E1&amp;" "&amp;E2&amp;" Overheads"&amp;C2</f>
        <v>Dec 23 Overheads.xlsm</v>
      </c>
    </row>
    <row r="3" spans="1:7" x14ac:dyDescent="0.25">
      <c r="A3" t="s">
        <v>2</v>
      </c>
      <c r="B3" t="b">
        <v>0</v>
      </c>
      <c r="C3" s="3">
        <f>IF(B3=TRUE,1,0)</f>
        <v>0</v>
      </c>
      <c r="E3" t="s">
        <v>40</v>
      </c>
    </row>
    <row r="4" spans="1:7" x14ac:dyDescent="0.25">
      <c r="A4" t="s">
        <v>3</v>
      </c>
      <c r="B4" t="b">
        <v>0</v>
      </c>
      <c r="C4" s="3">
        <f>IF(B4=TRUE,1,0)</f>
        <v>0</v>
      </c>
      <c r="D4" s="3">
        <f>SUM(C3:C4)</f>
        <v>0</v>
      </c>
    </row>
    <row r="5" spans="1:7" x14ac:dyDescent="0.25">
      <c r="A5" t="s">
        <v>4</v>
      </c>
    </row>
    <row r="6" spans="1:7" x14ac:dyDescent="0.25">
      <c r="A6" t="s">
        <v>16</v>
      </c>
    </row>
    <row r="7" spans="1:7" x14ac:dyDescent="0.25">
      <c r="A7" t="s">
        <v>17</v>
      </c>
      <c r="B7" t="str">
        <f>UPPER(B6)</f>
        <v/>
      </c>
      <c r="C7" t="s">
        <v>5</v>
      </c>
      <c r="D7" t="str">
        <f>B7&amp;C7</f>
        <v>.xlsm</v>
      </c>
    </row>
    <row r="8" spans="1:7" x14ac:dyDescent="0.25">
      <c r="A8" t="s">
        <v>6</v>
      </c>
      <c r="B8" s="6"/>
    </row>
    <row r="9" spans="1:7" x14ac:dyDescent="0.25">
      <c r="A9" t="s">
        <v>19</v>
      </c>
      <c r="C9" t="s">
        <v>5</v>
      </c>
      <c r="D9" t="str">
        <f>B9&amp;C9</f>
        <v>.xlsm</v>
      </c>
    </row>
    <row r="10" spans="1:7" x14ac:dyDescent="0.25">
      <c r="A10" t="s">
        <v>7</v>
      </c>
      <c r="B10" s="8"/>
    </row>
    <row r="11" spans="1:7" x14ac:dyDescent="0.25">
      <c r="A11" t="s">
        <v>8</v>
      </c>
      <c r="B11" s="7"/>
      <c r="C11" t="b">
        <f>ISNUMBER(B11)</f>
        <v>0</v>
      </c>
      <c r="D11" s="7">
        <f>0-B11</f>
        <v>0</v>
      </c>
    </row>
    <row r="12" spans="1:7" x14ac:dyDescent="0.25">
      <c r="A12" t="s">
        <v>46</v>
      </c>
      <c r="C12" t="s">
        <v>5</v>
      </c>
      <c r="D12" t="str">
        <f>B12&amp;C12</f>
        <v>.xlsm</v>
      </c>
    </row>
    <row r="13" spans="1:7" x14ac:dyDescent="0.25">
      <c r="A13" t="s">
        <v>9</v>
      </c>
    </row>
    <row r="14" spans="1:7" x14ac:dyDescent="0.25">
      <c r="A14" t="s">
        <v>15</v>
      </c>
      <c r="B14" s="3"/>
    </row>
    <row r="15" spans="1:7" x14ac:dyDescent="0.25">
      <c r="A15" t="s">
        <v>48</v>
      </c>
      <c r="C15" t="s">
        <v>5</v>
      </c>
      <c r="D15" t="str">
        <f>B15&amp;C15</f>
        <v>.xlsm</v>
      </c>
    </row>
    <row r="16" spans="1:7" x14ac:dyDescent="0.25">
      <c r="A16" t="s">
        <v>10</v>
      </c>
      <c r="B16" s="6"/>
    </row>
    <row r="17" spans="1:7" x14ac:dyDescent="0.25">
      <c r="A17" t="s">
        <v>11</v>
      </c>
      <c r="C17" t="s">
        <v>5</v>
      </c>
      <c r="D17" t="str">
        <f>B17&amp;C17</f>
        <v>.xlsm</v>
      </c>
    </row>
    <row r="18" spans="1:7" x14ac:dyDescent="0.25">
      <c r="A18" t="s">
        <v>12</v>
      </c>
      <c r="C18" s="33">
        <f>B18</f>
        <v>0</v>
      </c>
      <c r="D18" s="33"/>
    </row>
    <row r="19" spans="1:7" x14ac:dyDescent="0.25">
      <c r="A19" t="s">
        <v>13</v>
      </c>
      <c r="B19" s="7"/>
      <c r="C19" t="b">
        <f>ISNUMBER(B19)</f>
        <v>0</v>
      </c>
      <c r="D19" s="7">
        <f>0-B19</f>
        <v>0</v>
      </c>
      <c r="E19" s="25">
        <f>IF(B28="RAND",B19,IF(B28="USD",B19*B21))</f>
        <v>0</v>
      </c>
    </row>
    <row r="20" spans="1:7" x14ac:dyDescent="0.25">
      <c r="A20" t="s">
        <v>14</v>
      </c>
    </row>
    <row r="21" spans="1:7" x14ac:dyDescent="0.25">
      <c r="A21" t="s">
        <v>18</v>
      </c>
      <c r="C21" t="b">
        <f t="shared" ref="C21" si="0">ISNUMBER(B21)</f>
        <v>0</v>
      </c>
    </row>
    <row r="22" spans="1:7" x14ac:dyDescent="0.25">
      <c r="A22" t="s">
        <v>45</v>
      </c>
      <c r="C22" t="s">
        <v>5</v>
      </c>
      <c r="D22" t="str">
        <f>B22&amp;C22</f>
        <v>.xlsm</v>
      </c>
    </row>
    <row r="23" spans="1:7" x14ac:dyDescent="0.25">
      <c r="A23" t="s">
        <v>47</v>
      </c>
    </row>
    <row r="25" spans="1:7" x14ac:dyDescent="0.25">
      <c r="A25" t="s">
        <v>117</v>
      </c>
      <c r="C25" t="s">
        <v>117</v>
      </c>
      <c r="D25">
        <v>20</v>
      </c>
      <c r="E25" t="s">
        <v>117</v>
      </c>
      <c r="F25">
        <v>1700</v>
      </c>
    </row>
    <row r="26" spans="1:7" x14ac:dyDescent="0.25">
      <c r="A26" t="s">
        <v>116</v>
      </c>
      <c r="B26" s="7">
        <f>B11+B25</f>
        <v>0</v>
      </c>
      <c r="C26" t="s">
        <v>116</v>
      </c>
      <c r="D26" s="7">
        <f>D19+D25</f>
        <v>20</v>
      </c>
      <c r="E26" t="s">
        <v>116</v>
      </c>
      <c r="F26" s="7">
        <f>D11+F25</f>
        <v>1700</v>
      </c>
    </row>
    <row r="27" spans="1:7" x14ac:dyDescent="0.25">
      <c r="A27" t="s">
        <v>66</v>
      </c>
      <c r="B27" s="3">
        <v>10023119</v>
      </c>
      <c r="D27" s="7"/>
    </row>
    <row r="28" spans="1:7" x14ac:dyDescent="0.25">
      <c r="A28" t="s">
        <v>115</v>
      </c>
      <c r="B28" t="s">
        <v>56</v>
      </c>
    </row>
    <row r="29" spans="1:7" x14ac:dyDescent="0.25">
      <c r="A29" t="s">
        <v>25</v>
      </c>
      <c r="B29" s="2" t="s">
        <v>22</v>
      </c>
    </row>
    <row r="30" spans="1:7" x14ac:dyDescent="0.25">
      <c r="A30" t="s">
        <v>23</v>
      </c>
      <c r="B30">
        <f>SUM(C31:G31)</f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</row>
    <row r="31" spans="1:7" x14ac:dyDescent="0.25">
      <c r="A31" t="s">
        <v>24</v>
      </c>
      <c r="B31" t="str">
        <f>IF(C30=TRUE,"CLIVE",IF(D30=TRUE,"JASON",IF(E30=TRUE,"CHRISTINE",IF(F30=TRUE,"SAVANNAH",IF(G30=TRUE,B33,"")))))</f>
        <v/>
      </c>
      <c r="C31" t="str">
        <f>IF(C30=TRUE,1,"")</f>
        <v/>
      </c>
      <c r="D31" t="str">
        <f>IF(D30=TRUE,1,"")</f>
        <v/>
      </c>
      <c r="E31" t="str">
        <f>IF(E30=TRUE,1,"")</f>
        <v/>
      </c>
      <c r="F31" t="str">
        <f t="shared" ref="F31:G31" si="1">IF(F30=TRUE,1,"")</f>
        <v/>
      </c>
      <c r="G31" t="str">
        <f t="shared" si="1"/>
        <v/>
      </c>
    </row>
    <row r="33" spans="1:4" x14ac:dyDescent="0.25">
      <c r="A33" t="s">
        <v>26</v>
      </c>
    </row>
    <row r="34" spans="1:4" x14ac:dyDescent="0.25">
      <c r="A34" t="s">
        <v>38</v>
      </c>
      <c r="B34" s="7">
        <v>17048.36</v>
      </c>
    </row>
    <row r="35" spans="1:4" x14ac:dyDescent="0.25">
      <c r="A35" t="s">
        <v>27</v>
      </c>
    </row>
    <row r="36" spans="1:4" x14ac:dyDescent="0.25">
      <c r="A36" t="s">
        <v>28</v>
      </c>
      <c r="B36" s="3"/>
      <c r="C36" t="s">
        <v>5</v>
      </c>
      <c r="D36" t="str">
        <f>B36&amp;C36</f>
        <v>.xlsm</v>
      </c>
    </row>
    <row r="37" spans="1:4" x14ac:dyDescent="0.25">
      <c r="A37" t="s">
        <v>30</v>
      </c>
    </row>
    <row r="39" spans="1:4" x14ac:dyDescent="0.25">
      <c r="B39" t="s">
        <v>29</v>
      </c>
    </row>
    <row r="40" spans="1:4" x14ac:dyDescent="0.25">
      <c r="A40" t="s">
        <v>20</v>
      </c>
      <c r="B40" s="7"/>
    </row>
    <row r="41" spans="1:4" x14ac:dyDescent="0.25">
      <c r="A41" t="s">
        <v>21</v>
      </c>
      <c r="B41" s="7">
        <f>B37+B40</f>
        <v>0</v>
      </c>
    </row>
    <row r="44" spans="1:4" x14ac:dyDescent="0.25">
      <c r="A44" t="s">
        <v>31</v>
      </c>
      <c r="C44" t="s">
        <v>5</v>
      </c>
      <c r="D44" t="str">
        <f>B44&amp;C44</f>
        <v>.xlsm</v>
      </c>
    </row>
    <row r="45" spans="1:4" x14ac:dyDescent="0.25">
      <c r="A45" t="s">
        <v>32</v>
      </c>
      <c r="C45" t="s">
        <v>5</v>
      </c>
      <c r="D45" t="str">
        <f>B45&amp;C45</f>
        <v>.xlsm</v>
      </c>
    </row>
    <row r="46" spans="1:4" x14ac:dyDescent="0.25">
      <c r="A46" t="s">
        <v>33</v>
      </c>
    </row>
    <row r="47" spans="1:4" x14ac:dyDescent="0.25">
      <c r="A47" s="13" t="s">
        <v>57</v>
      </c>
      <c r="B47" s="14"/>
      <c r="C47" t="b">
        <f>ISNUMBER(B47)</f>
        <v>0</v>
      </c>
    </row>
    <row r="48" spans="1:4" x14ac:dyDescent="0.25">
      <c r="A48" t="s">
        <v>34</v>
      </c>
    </row>
    <row r="49" spans="1:4" x14ac:dyDescent="0.25">
      <c r="A49" t="s">
        <v>35</v>
      </c>
      <c r="B49" s="6">
        <v>43211</v>
      </c>
    </row>
    <row r="50" spans="1:4" x14ac:dyDescent="0.25">
      <c r="A50" t="s">
        <v>59</v>
      </c>
      <c r="B50" s="15"/>
      <c r="C50" t="b">
        <f>ISNUMBER(B50)</f>
        <v>0</v>
      </c>
    </row>
    <row r="51" spans="1:4" x14ac:dyDescent="0.25">
      <c r="B51" s="14">
        <f>B50*B47</f>
        <v>0</v>
      </c>
    </row>
    <row r="52" spans="1:4" x14ac:dyDescent="0.25">
      <c r="A52" s="13" t="s">
        <v>58</v>
      </c>
      <c r="B52" s="14">
        <f>IF(E44=E45,B47,B51)</f>
        <v>0</v>
      </c>
      <c r="D52" t="s">
        <v>5</v>
      </c>
    </row>
    <row r="53" spans="1:4" x14ac:dyDescent="0.25">
      <c r="A53" t="s">
        <v>36</v>
      </c>
      <c r="B53" t="s">
        <v>112</v>
      </c>
      <c r="C53" t="s">
        <v>56</v>
      </c>
      <c r="D53" t="str">
        <f>B53&amp;D52</f>
        <v>US$ PETTY CASH.xlsm</v>
      </c>
    </row>
    <row r="54" spans="1:4" x14ac:dyDescent="0.25">
      <c r="A54" t="s">
        <v>37</v>
      </c>
      <c r="B54" t="str">
        <f>B53</f>
        <v>US$ PETTY CASH</v>
      </c>
      <c r="C54">
        <v>11693</v>
      </c>
    </row>
    <row r="56" spans="1:4" x14ac:dyDescent="0.25">
      <c r="A56" t="s">
        <v>41</v>
      </c>
    </row>
    <row r="57" spans="1:4" x14ac:dyDescent="0.25">
      <c r="A57" t="s">
        <v>42</v>
      </c>
      <c r="B57" t="b">
        <v>1</v>
      </c>
    </row>
    <row r="59" spans="1:4" x14ac:dyDescent="0.25">
      <c r="A59" t="s">
        <v>74</v>
      </c>
    </row>
    <row r="60" spans="1:4" x14ac:dyDescent="0.25">
      <c r="A60" t="s">
        <v>221</v>
      </c>
    </row>
    <row r="62" spans="1:4" x14ac:dyDescent="0.25">
      <c r="A62" t="s">
        <v>118</v>
      </c>
      <c r="B62" t="b">
        <v>0</v>
      </c>
      <c r="C62">
        <f>IF(B62=TRUE,1,0)</f>
        <v>0</v>
      </c>
    </row>
    <row r="63" spans="1:4" x14ac:dyDescent="0.25">
      <c r="A63" t="s">
        <v>119</v>
      </c>
      <c r="B63" t="b">
        <v>0</v>
      </c>
      <c r="C63">
        <f>IF(B63=TRUE,1,0)</f>
        <v>0</v>
      </c>
    </row>
    <row r="64" spans="1:4" x14ac:dyDescent="0.25">
      <c r="A64" t="s">
        <v>54</v>
      </c>
      <c r="B64" t="b">
        <f>IF(B62=TRUE,"USD",IF(B63=TRUE,"RAND"))</f>
        <v>0</v>
      </c>
      <c r="C64">
        <f>SUM(C62:C63)</f>
        <v>0</v>
      </c>
    </row>
    <row r="66" spans="1:4" x14ac:dyDescent="0.25">
      <c r="A66" t="s">
        <v>214</v>
      </c>
      <c r="B66" t="b">
        <v>0</v>
      </c>
    </row>
    <row r="67" spans="1:4" x14ac:dyDescent="0.25">
      <c r="A67" t="s">
        <v>222</v>
      </c>
      <c r="B67" t="b">
        <v>0</v>
      </c>
    </row>
    <row r="68" spans="1:4" x14ac:dyDescent="0.25">
      <c r="A68" t="s">
        <v>268</v>
      </c>
      <c r="B68" t="b">
        <v>0</v>
      </c>
    </row>
    <row r="69" spans="1:4" x14ac:dyDescent="0.25">
      <c r="A69" t="s">
        <v>269</v>
      </c>
      <c r="B69" t="b">
        <v>0</v>
      </c>
    </row>
    <row r="70" spans="1:4" x14ac:dyDescent="0.25">
      <c r="A70" t="s">
        <v>120</v>
      </c>
      <c r="B70" t="s">
        <v>121</v>
      </c>
    </row>
    <row r="72" spans="1:4" x14ac:dyDescent="0.25">
      <c r="A72" t="s">
        <v>139</v>
      </c>
      <c r="B72" t="b">
        <v>0</v>
      </c>
    </row>
    <row r="73" spans="1:4" x14ac:dyDescent="0.25">
      <c r="A73" t="s">
        <v>141</v>
      </c>
      <c r="B73" t="str">
        <f ca="1">A73&amp;B75&amp;B74&amp;A80&amp;B76&amp;A77&amp;B79&amp;A79&amp;B77&amp;A81&amp;B77&amp;A80&amp;B78</f>
        <v>CD3 PAYMENT REF - 29-1-24 - R0  280 x CD3'S total R2190000</v>
      </c>
      <c r="C73" t="s">
        <v>40</v>
      </c>
      <c r="D73" t="str">
        <f ca="1">B73&amp;C73</f>
        <v>CD3 PAYMENT REF - 29-1-24 - R0  280 x CD3'S total R2190000.xlsx</v>
      </c>
    </row>
    <row r="74" spans="1:4" x14ac:dyDescent="0.25">
      <c r="A74" t="s">
        <v>132</v>
      </c>
      <c r="B74" t="s">
        <v>133</v>
      </c>
    </row>
    <row r="75" spans="1:4" x14ac:dyDescent="0.25">
      <c r="A75" s="26">
        <f ca="1">TODAY()</f>
        <v>45320</v>
      </c>
      <c r="B75" t="str">
        <f ca="1">TEXT(A75,"d-m-y")</f>
        <v>29-1-24</v>
      </c>
    </row>
    <row r="76" spans="1:4" x14ac:dyDescent="0.25">
      <c r="A76" t="s">
        <v>134</v>
      </c>
      <c r="B76" s="25">
        <f>E19</f>
        <v>0</v>
      </c>
    </row>
    <row r="77" spans="1:4" x14ac:dyDescent="0.25">
      <c r="A77" t="s">
        <v>142</v>
      </c>
      <c r="B77" t="s">
        <v>138</v>
      </c>
    </row>
    <row r="78" spans="1:4" x14ac:dyDescent="0.25">
      <c r="A78" t="s">
        <v>135</v>
      </c>
      <c r="B78" s="25">
        <f>SUM('CD3'!K2:K4751)</f>
        <v>2190000</v>
      </c>
    </row>
    <row r="79" spans="1:4" x14ac:dyDescent="0.25">
      <c r="A79" t="s">
        <v>137</v>
      </c>
      <c r="B79">
        <f>COUNT('CD3'!K2:K4752)</f>
        <v>280</v>
      </c>
    </row>
    <row r="80" spans="1:4" x14ac:dyDescent="0.25">
      <c r="A80" t="s">
        <v>136</v>
      </c>
    </row>
    <row r="81" spans="1:4" x14ac:dyDescent="0.25">
      <c r="A81" t="s">
        <v>140</v>
      </c>
    </row>
    <row r="83" spans="1:4" x14ac:dyDescent="0.25">
      <c r="A83" t="s">
        <v>143</v>
      </c>
      <c r="B83">
        <v>1222737</v>
      </c>
    </row>
    <row r="87" spans="1:4" x14ac:dyDescent="0.25">
      <c r="A87" t="s">
        <v>53</v>
      </c>
      <c r="B87" t="b">
        <v>1</v>
      </c>
      <c r="C87">
        <f>IF(B87=TRUE,1,0)</f>
        <v>1</v>
      </c>
    </row>
    <row r="88" spans="1:4" x14ac:dyDescent="0.25">
      <c r="A88" t="s">
        <v>52</v>
      </c>
      <c r="B88" t="b">
        <v>0</v>
      </c>
      <c r="C88">
        <f>IF(B88=TRUE,1,0)</f>
        <v>0</v>
      </c>
    </row>
    <row r="89" spans="1:4" x14ac:dyDescent="0.25">
      <c r="B89" t="str">
        <f>IF(B87=TRUE,"USD",IF(B88=TRUE,"RAND"))</f>
        <v>USD</v>
      </c>
      <c r="C89">
        <f>SUM(C87:C88)</f>
        <v>1</v>
      </c>
    </row>
    <row r="91" spans="1:4" x14ac:dyDescent="0.25">
      <c r="A91" t="s">
        <v>50</v>
      </c>
      <c r="B91" t="s">
        <v>533</v>
      </c>
      <c r="C91" t="str">
        <f>UPPER(B91)</f>
        <v>TEST</v>
      </c>
    </row>
    <row r="92" spans="1:4" x14ac:dyDescent="0.25">
      <c r="A92" t="s">
        <v>17</v>
      </c>
      <c r="B92" t="str">
        <f>UPPER(B91)</f>
        <v>TEST</v>
      </c>
      <c r="C92" t="s">
        <v>5</v>
      </c>
      <c r="D92" t="str">
        <f>B92&amp;C92</f>
        <v>TEST.xlsm</v>
      </c>
    </row>
    <row r="93" spans="1:4" x14ac:dyDescent="0.25">
      <c r="A93" t="s">
        <v>51</v>
      </c>
    </row>
    <row r="96" spans="1:4" x14ac:dyDescent="0.25">
      <c r="A96" t="s">
        <v>215</v>
      </c>
    </row>
    <row r="97" spans="1:2" x14ac:dyDescent="0.25">
      <c r="A97" t="s">
        <v>216</v>
      </c>
      <c r="B97" s="7">
        <f>B98/115*100</f>
        <v>0</v>
      </c>
    </row>
    <row r="98" spans="1:2" x14ac:dyDescent="0.25">
      <c r="A98" t="s">
        <v>217</v>
      </c>
      <c r="B98" s="7">
        <f>B11</f>
        <v>0</v>
      </c>
    </row>
    <row r="99" spans="1:2" x14ac:dyDescent="0.25">
      <c r="A99" t="s">
        <v>218</v>
      </c>
      <c r="B99" s="7">
        <f>B97*15%</f>
        <v>0</v>
      </c>
    </row>
    <row r="101" spans="1:2" x14ac:dyDescent="0.25">
      <c r="A101" t="s">
        <v>223</v>
      </c>
      <c r="B101">
        <v>245</v>
      </c>
    </row>
    <row r="102" spans="1:2" x14ac:dyDescent="0.25">
      <c r="A102" t="s">
        <v>224</v>
      </c>
      <c r="B102">
        <v>190.27999999999975</v>
      </c>
    </row>
  </sheetData>
  <mergeCells count="1">
    <mergeCell ref="C18:D1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312"/>
  <sheetViews>
    <sheetView workbookViewId="0">
      <selection sqref="A1:B1048576"/>
    </sheetView>
  </sheetViews>
  <sheetFormatPr defaultRowHeight="15" x14ac:dyDescent="0.25"/>
  <cols>
    <col min="1" max="1" width="48" customWidth="1"/>
    <col min="2" max="2" width="10.5703125" bestFit="1" customWidth="1"/>
    <col min="3" max="3" width="44.42578125" customWidth="1"/>
    <col min="4" max="4" width="21" style="5" customWidth="1"/>
    <col min="5" max="5" width="51.7109375" customWidth="1"/>
    <col min="6" max="6" width="17.42578125" style="3" customWidth="1"/>
    <col min="8" max="8" width="62.140625" customWidth="1"/>
    <col min="9" max="9" width="27.85546875" customWidth="1"/>
  </cols>
  <sheetData>
    <row r="1" spans="1:9" x14ac:dyDescent="0.25">
      <c r="A1" s="2" t="s">
        <v>340</v>
      </c>
      <c r="B1" s="2" t="s">
        <v>54</v>
      </c>
      <c r="C1" s="12" t="s">
        <v>60</v>
      </c>
      <c r="D1" s="4"/>
      <c r="E1" s="2" t="s">
        <v>343</v>
      </c>
      <c r="F1" s="2" t="s">
        <v>344</v>
      </c>
      <c r="H1" s="2"/>
      <c r="I1" s="2"/>
    </row>
    <row r="2" spans="1:9" x14ac:dyDescent="0.25">
      <c r="A2" t="s">
        <v>669</v>
      </c>
      <c r="B2" t="s">
        <v>56</v>
      </c>
      <c r="C2" t="s">
        <v>614</v>
      </c>
      <c r="E2" t="s">
        <v>609</v>
      </c>
      <c r="F2" s="3" t="s">
        <v>532</v>
      </c>
    </row>
    <row r="3" spans="1:9" x14ac:dyDescent="0.25">
      <c r="A3" t="s">
        <v>670</v>
      </c>
      <c r="B3" t="s">
        <v>56</v>
      </c>
      <c r="C3" t="s">
        <v>615</v>
      </c>
      <c r="E3" t="s">
        <v>611</v>
      </c>
      <c r="F3" s="3" t="s">
        <v>532</v>
      </c>
    </row>
    <row r="4" spans="1:9" x14ac:dyDescent="0.25">
      <c r="A4" t="s">
        <v>671</v>
      </c>
      <c r="B4" t="s">
        <v>56</v>
      </c>
      <c r="C4" t="s">
        <v>44</v>
      </c>
      <c r="E4" t="s">
        <v>610</v>
      </c>
      <c r="F4" s="3" t="s">
        <v>532</v>
      </c>
    </row>
    <row r="5" spans="1:9" x14ac:dyDescent="0.25">
      <c r="A5" t="s">
        <v>672</v>
      </c>
      <c r="B5" t="s">
        <v>56</v>
      </c>
      <c r="C5" t="s">
        <v>206</v>
      </c>
      <c r="E5" t="s">
        <v>990</v>
      </c>
      <c r="F5" s="3" t="s">
        <v>532</v>
      </c>
    </row>
    <row r="6" spans="1:9" x14ac:dyDescent="0.25">
      <c r="A6" t="s">
        <v>673</v>
      </c>
      <c r="B6" t="s">
        <v>56</v>
      </c>
      <c r="C6" t="s">
        <v>61</v>
      </c>
      <c r="E6" t="s">
        <v>989</v>
      </c>
      <c r="F6" s="3" t="s">
        <v>532</v>
      </c>
    </row>
    <row r="7" spans="1:9" x14ac:dyDescent="0.25">
      <c r="A7" t="s">
        <v>674</v>
      </c>
      <c r="B7" t="s">
        <v>56</v>
      </c>
      <c r="C7" t="s">
        <v>62</v>
      </c>
      <c r="E7" t="s">
        <v>994</v>
      </c>
      <c r="F7" s="3" t="s">
        <v>532</v>
      </c>
    </row>
    <row r="8" spans="1:9" x14ac:dyDescent="0.25">
      <c r="A8" t="s">
        <v>341</v>
      </c>
      <c r="B8" t="s">
        <v>55</v>
      </c>
      <c r="C8" t="s">
        <v>252</v>
      </c>
      <c r="E8" t="s">
        <v>992</v>
      </c>
      <c r="F8" s="3" t="s">
        <v>532</v>
      </c>
    </row>
    <row r="9" spans="1:9" x14ac:dyDescent="0.25">
      <c r="A9" t="s">
        <v>342</v>
      </c>
      <c r="B9" t="s">
        <v>56</v>
      </c>
      <c r="C9" t="s">
        <v>273</v>
      </c>
      <c r="E9" t="s">
        <v>991</v>
      </c>
      <c r="F9" s="3" t="s">
        <v>532</v>
      </c>
    </row>
    <row r="10" spans="1:9" x14ac:dyDescent="0.25">
      <c r="A10" t="s">
        <v>112</v>
      </c>
      <c r="B10" t="s">
        <v>56</v>
      </c>
      <c r="C10" t="s">
        <v>616</v>
      </c>
      <c r="E10" t="s">
        <v>995</v>
      </c>
      <c r="F10" s="3" t="s">
        <v>532</v>
      </c>
    </row>
    <row r="11" spans="1:9" x14ac:dyDescent="0.25">
      <c r="C11" t="s">
        <v>617</v>
      </c>
      <c r="E11" t="s">
        <v>996</v>
      </c>
      <c r="F11" s="3" t="s">
        <v>532</v>
      </c>
    </row>
    <row r="12" spans="1:9" x14ac:dyDescent="0.25">
      <c r="C12" t="s">
        <v>63</v>
      </c>
      <c r="E12" t="s">
        <v>997</v>
      </c>
      <c r="F12" s="3" t="s">
        <v>532</v>
      </c>
    </row>
    <row r="13" spans="1:9" x14ac:dyDescent="0.25">
      <c r="C13" t="s">
        <v>64</v>
      </c>
      <c r="E13" t="s">
        <v>998</v>
      </c>
      <c r="F13" s="3" t="s">
        <v>532</v>
      </c>
    </row>
    <row r="14" spans="1:9" x14ac:dyDescent="0.25">
      <c r="C14" t="s">
        <v>618</v>
      </c>
      <c r="E14" t="s">
        <v>993</v>
      </c>
      <c r="F14" s="3" t="s">
        <v>532</v>
      </c>
    </row>
    <row r="15" spans="1:9" x14ac:dyDescent="0.25">
      <c r="C15" t="s">
        <v>619</v>
      </c>
      <c r="E15" t="s">
        <v>345</v>
      </c>
      <c r="F15" s="3">
        <v>10053846</v>
      </c>
    </row>
    <row r="16" spans="1:9" x14ac:dyDescent="0.25">
      <c r="C16" t="s">
        <v>568</v>
      </c>
      <c r="E16" t="s">
        <v>346</v>
      </c>
    </row>
    <row r="17" spans="3:6" x14ac:dyDescent="0.25">
      <c r="C17" t="s">
        <v>207</v>
      </c>
      <c r="E17" t="s">
        <v>328</v>
      </c>
      <c r="F17" s="3">
        <v>10007783</v>
      </c>
    </row>
    <row r="18" spans="3:6" x14ac:dyDescent="0.25">
      <c r="C18" t="s">
        <v>620</v>
      </c>
      <c r="E18" t="s">
        <v>347</v>
      </c>
      <c r="F18" s="3">
        <v>10001718</v>
      </c>
    </row>
    <row r="19" spans="3:6" x14ac:dyDescent="0.25">
      <c r="C19" t="s">
        <v>621</v>
      </c>
      <c r="E19" t="s">
        <v>348</v>
      </c>
      <c r="F19" s="3">
        <v>10009909</v>
      </c>
    </row>
    <row r="20" spans="3:6" x14ac:dyDescent="0.25">
      <c r="C20" t="s">
        <v>622</v>
      </c>
      <c r="E20" t="s">
        <v>349</v>
      </c>
      <c r="F20" s="3">
        <v>10001474</v>
      </c>
    </row>
    <row r="21" spans="3:6" x14ac:dyDescent="0.25">
      <c r="C21" t="s">
        <v>111</v>
      </c>
      <c r="E21" t="s">
        <v>534</v>
      </c>
      <c r="F21" s="3">
        <v>10013960</v>
      </c>
    </row>
    <row r="22" spans="3:6" x14ac:dyDescent="0.25">
      <c r="C22" t="s">
        <v>623</v>
      </c>
      <c r="E22" t="s">
        <v>350</v>
      </c>
    </row>
    <row r="23" spans="3:6" x14ac:dyDescent="0.25">
      <c r="C23" t="s">
        <v>624</v>
      </c>
      <c r="E23" t="s">
        <v>351</v>
      </c>
      <c r="F23" s="3">
        <v>10017785</v>
      </c>
    </row>
    <row r="24" spans="3:6" x14ac:dyDescent="0.25">
      <c r="C24" t="s">
        <v>625</v>
      </c>
      <c r="E24" t="s">
        <v>535</v>
      </c>
      <c r="F24" s="3">
        <v>10003121</v>
      </c>
    </row>
    <row r="25" spans="3:6" x14ac:dyDescent="0.25">
      <c r="C25" t="s">
        <v>65</v>
      </c>
      <c r="E25" t="s">
        <v>536</v>
      </c>
    </row>
    <row r="26" spans="3:6" x14ac:dyDescent="0.25">
      <c r="C26" t="s">
        <v>208</v>
      </c>
      <c r="E26" t="s">
        <v>352</v>
      </c>
      <c r="F26" s="3">
        <v>10000127</v>
      </c>
    </row>
    <row r="27" spans="3:6" x14ac:dyDescent="0.25">
      <c r="C27" t="s">
        <v>626</v>
      </c>
      <c r="E27" t="s">
        <v>353</v>
      </c>
    </row>
    <row r="28" spans="3:6" x14ac:dyDescent="0.25">
      <c r="C28" t="s">
        <v>209</v>
      </c>
      <c r="E28" t="s">
        <v>537</v>
      </c>
      <c r="F28" s="3">
        <v>10022163</v>
      </c>
    </row>
    <row r="29" spans="3:6" x14ac:dyDescent="0.25">
      <c r="C29" t="s">
        <v>122</v>
      </c>
      <c r="E29" t="s">
        <v>538</v>
      </c>
    </row>
    <row r="30" spans="3:6" x14ac:dyDescent="0.25">
      <c r="E30" t="s">
        <v>354</v>
      </c>
      <c r="F30" s="3">
        <v>10028868</v>
      </c>
    </row>
    <row r="31" spans="3:6" x14ac:dyDescent="0.25">
      <c r="E31" t="s">
        <v>355</v>
      </c>
      <c r="F31" s="3">
        <v>10061008</v>
      </c>
    </row>
    <row r="32" spans="3:6" x14ac:dyDescent="0.25">
      <c r="E32" t="s">
        <v>539</v>
      </c>
      <c r="F32" s="3">
        <v>10013014</v>
      </c>
    </row>
    <row r="33" spans="5:6" x14ac:dyDescent="0.25">
      <c r="E33" t="s">
        <v>356</v>
      </c>
      <c r="F33" s="3">
        <v>10000510</v>
      </c>
    </row>
    <row r="34" spans="5:6" x14ac:dyDescent="0.25">
      <c r="E34" t="s">
        <v>357</v>
      </c>
    </row>
    <row r="35" spans="5:6" x14ac:dyDescent="0.25">
      <c r="E35" t="s">
        <v>358</v>
      </c>
    </row>
    <row r="36" spans="5:6" x14ac:dyDescent="0.25">
      <c r="E36" t="s">
        <v>540</v>
      </c>
      <c r="F36" s="3">
        <v>10058509</v>
      </c>
    </row>
    <row r="37" spans="5:6" x14ac:dyDescent="0.25">
      <c r="E37" t="s">
        <v>359</v>
      </c>
      <c r="F37" s="3">
        <v>10004300</v>
      </c>
    </row>
    <row r="38" spans="5:6" x14ac:dyDescent="0.25">
      <c r="E38" t="s">
        <v>360</v>
      </c>
      <c r="F38" s="3">
        <v>10013430</v>
      </c>
    </row>
    <row r="39" spans="5:6" x14ac:dyDescent="0.25">
      <c r="E39" t="s">
        <v>541</v>
      </c>
    </row>
    <row r="40" spans="5:6" x14ac:dyDescent="0.25">
      <c r="E40" t="s">
        <v>542</v>
      </c>
    </row>
    <row r="41" spans="5:6" x14ac:dyDescent="0.25">
      <c r="E41" t="s">
        <v>361</v>
      </c>
      <c r="F41" s="3">
        <v>10001474</v>
      </c>
    </row>
    <row r="42" spans="5:6" x14ac:dyDescent="0.25">
      <c r="E42" t="s">
        <v>362</v>
      </c>
    </row>
    <row r="43" spans="5:6" x14ac:dyDescent="0.25">
      <c r="E43" t="s">
        <v>363</v>
      </c>
      <c r="F43" s="3">
        <v>10001366</v>
      </c>
    </row>
    <row r="44" spans="5:6" x14ac:dyDescent="0.25">
      <c r="E44" t="s">
        <v>329</v>
      </c>
      <c r="F44" s="3">
        <v>10055645</v>
      </c>
    </row>
    <row r="45" spans="5:6" x14ac:dyDescent="0.25">
      <c r="E45" t="s">
        <v>329</v>
      </c>
      <c r="F45" s="3">
        <v>10016722</v>
      </c>
    </row>
    <row r="46" spans="5:6" x14ac:dyDescent="0.25">
      <c r="E46" t="s">
        <v>364</v>
      </c>
      <c r="F46" s="3">
        <v>10001475</v>
      </c>
    </row>
    <row r="47" spans="5:6" x14ac:dyDescent="0.25">
      <c r="E47" t="s">
        <v>61</v>
      </c>
      <c r="F47" s="3">
        <v>10023119</v>
      </c>
    </row>
    <row r="48" spans="5:6" x14ac:dyDescent="0.25">
      <c r="E48" t="s">
        <v>365</v>
      </c>
    </row>
    <row r="49" spans="5:6" x14ac:dyDescent="0.25">
      <c r="E49" t="s">
        <v>366</v>
      </c>
    </row>
    <row r="50" spans="5:6" x14ac:dyDescent="0.25">
      <c r="E50" t="s">
        <v>543</v>
      </c>
      <c r="F50" s="3">
        <v>10015899</v>
      </c>
    </row>
    <row r="51" spans="5:6" x14ac:dyDescent="0.25">
      <c r="E51" t="s">
        <v>367</v>
      </c>
      <c r="F51" s="3">
        <v>10019105</v>
      </c>
    </row>
    <row r="52" spans="5:6" x14ac:dyDescent="0.25">
      <c r="E52" t="s">
        <v>368</v>
      </c>
    </row>
    <row r="53" spans="5:6" x14ac:dyDescent="0.25">
      <c r="E53" t="s">
        <v>369</v>
      </c>
    </row>
    <row r="54" spans="5:6" x14ac:dyDescent="0.25">
      <c r="E54" t="s">
        <v>370</v>
      </c>
    </row>
    <row r="55" spans="5:6" x14ac:dyDescent="0.25">
      <c r="E55" t="s">
        <v>371</v>
      </c>
    </row>
    <row r="56" spans="5:6" x14ac:dyDescent="0.25">
      <c r="E56" t="s">
        <v>125</v>
      </c>
    </row>
    <row r="57" spans="5:6" x14ac:dyDescent="0.25">
      <c r="E57" t="s">
        <v>575</v>
      </c>
    </row>
    <row r="58" spans="5:6" x14ac:dyDescent="0.25">
      <c r="E58" t="s">
        <v>372</v>
      </c>
    </row>
    <row r="59" spans="5:6" x14ac:dyDescent="0.25">
      <c r="E59" t="s">
        <v>373</v>
      </c>
    </row>
    <row r="60" spans="5:6" x14ac:dyDescent="0.25">
      <c r="E60" t="s">
        <v>374</v>
      </c>
    </row>
    <row r="61" spans="5:6" x14ac:dyDescent="0.25">
      <c r="E61" t="s">
        <v>375</v>
      </c>
    </row>
    <row r="62" spans="5:6" x14ac:dyDescent="0.25">
      <c r="E62" t="s">
        <v>597</v>
      </c>
    </row>
    <row r="63" spans="5:6" x14ac:dyDescent="0.25">
      <c r="E63" t="s">
        <v>376</v>
      </c>
    </row>
    <row r="64" spans="5:6" x14ac:dyDescent="0.25">
      <c r="E64" t="s">
        <v>377</v>
      </c>
    </row>
    <row r="65" spans="5:5" x14ac:dyDescent="0.25">
      <c r="E65" t="s">
        <v>378</v>
      </c>
    </row>
    <row r="66" spans="5:5" x14ac:dyDescent="0.25">
      <c r="E66" t="s">
        <v>544</v>
      </c>
    </row>
    <row r="67" spans="5:5" x14ac:dyDescent="0.25">
      <c r="E67" t="s">
        <v>545</v>
      </c>
    </row>
    <row r="68" spans="5:5" x14ac:dyDescent="0.25">
      <c r="E68" t="s">
        <v>379</v>
      </c>
    </row>
    <row r="69" spans="5:5" x14ac:dyDescent="0.25">
      <c r="E69" t="s">
        <v>392</v>
      </c>
    </row>
    <row r="70" spans="5:5" x14ac:dyDescent="0.25">
      <c r="E70" t="s">
        <v>400</v>
      </c>
    </row>
    <row r="71" spans="5:5" x14ac:dyDescent="0.25">
      <c r="E71" t="s">
        <v>403</v>
      </c>
    </row>
    <row r="72" spans="5:5" x14ac:dyDescent="0.25">
      <c r="E72" t="s">
        <v>385</v>
      </c>
    </row>
    <row r="73" spans="5:5" x14ac:dyDescent="0.25">
      <c r="E73" t="s">
        <v>387</v>
      </c>
    </row>
    <row r="74" spans="5:5" x14ac:dyDescent="0.25">
      <c r="E74" t="s">
        <v>332</v>
      </c>
    </row>
    <row r="75" spans="5:5" x14ac:dyDescent="0.25">
      <c r="E75" t="s">
        <v>405</v>
      </c>
    </row>
    <row r="76" spans="5:5" x14ac:dyDescent="0.25">
      <c r="E76" t="s">
        <v>407</v>
      </c>
    </row>
    <row r="77" spans="5:5" x14ac:dyDescent="0.25">
      <c r="E77" t="s">
        <v>590</v>
      </c>
    </row>
    <row r="78" spans="5:5" x14ac:dyDescent="0.25">
      <c r="E78" t="s">
        <v>409</v>
      </c>
    </row>
    <row r="79" spans="5:5" x14ac:dyDescent="0.25">
      <c r="E79" t="s">
        <v>411</v>
      </c>
    </row>
    <row r="80" spans="5:5" x14ac:dyDescent="0.25">
      <c r="E80" t="s">
        <v>412</v>
      </c>
    </row>
    <row r="81" spans="5:5" x14ac:dyDescent="0.25">
      <c r="E81" t="s">
        <v>419</v>
      </c>
    </row>
    <row r="82" spans="5:5" x14ac:dyDescent="0.25">
      <c r="E82" t="s">
        <v>396</v>
      </c>
    </row>
    <row r="83" spans="5:5" x14ac:dyDescent="0.25">
      <c r="E83" t="s">
        <v>396</v>
      </c>
    </row>
    <row r="84" spans="5:5" x14ac:dyDescent="0.25">
      <c r="E84" t="s">
        <v>420</v>
      </c>
    </row>
    <row r="85" spans="5:5" x14ac:dyDescent="0.25">
      <c r="E85" t="s">
        <v>430</v>
      </c>
    </row>
    <row r="86" spans="5:5" x14ac:dyDescent="0.25">
      <c r="E86" t="s">
        <v>434</v>
      </c>
    </row>
    <row r="87" spans="5:5" x14ac:dyDescent="0.25">
      <c r="E87" t="s">
        <v>582</v>
      </c>
    </row>
    <row r="88" spans="5:5" x14ac:dyDescent="0.25">
      <c r="E88" t="s">
        <v>436</v>
      </c>
    </row>
    <row r="89" spans="5:5" x14ac:dyDescent="0.25">
      <c r="E89" t="s">
        <v>593</v>
      </c>
    </row>
    <row r="90" spans="5:5" x14ac:dyDescent="0.25">
      <c r="E90" t="s">
        <v>437</v>
      </c>
    </row>
    <row r="91" spans="5:5" x14ac:dyDescent="0.25">
      <c r="E91" t="s">
        <v>581</v>
      </c>
    </row>
    <row r="92" spans="5:5" x14ac:dyDescent="0.25">
      <c r="E92" t="s">
        <v>438</v>
      </c>
    </row>
    <row r="93" spans="5:5" x14ac:dyDescent="0.25">
      <c r="E93" t="s">
        <v>259</v>
      </c>
    </row>
    <row r="94" spans="5:5" x14ac:dyDescent="0.25">
      <c r="E94" t="s">
        <v>440</v>
      </c>
    </row>
    <row r="95" spans="5:5" x14ac:dyDescent="0.25">
      <c r="E95" t="s">
        <v>441</v>
      </c>
    </row>
    <row r="96" spans="5:5" x14ac:dyDescent="0.25">
      <c r="E96" t="s">
        <v>446</v>
      </c>
    </row>
    <row r="97" spans="5:6" x14ac:dyDescent="0.25">
      <c r="E97" t="s">
        <v>448</v>
      </c>
    </row>
    <row r="98" spans="5:6" x14ac:dyDescent="0.25">
      <c r="E98" t="s">
        <v>452</v>
      </c>
    </row>
    <row r="99" spans="5:6" x14ac:dyDescent="0.25">
      <c r="E99" t="s">
        <v>453</v>
      </c>
    </row>
    <row r="100" spans="5:6" x14ac:dyDescent="0.25">
      <c r="E100" t="s">
        <v>454</v>
      </c>
    </row>
    <row r="101" spans="5:6" x14ac:dyDescent="0.25">
      <c r="E101" t="s">
        <v>465</v>
      </c>
    </row>
    <row r="102" spans="5:6" x14ac:dyDescent="0.25">
      <c r="E102" t="s">
        <v>591</v>
      </c>
    </row>
    <row r="103" spans="5:6" x14ac:dyDescent="0.25">
      <c r="E103" t="s">
        <v>393</v>
      </c>
    </row>
    <row r="104" spans="5:6" x14ac:dyDescent="0.25">
      <c r="E104" t="s">
        <v>576</v>
      </c>
    </row>
    <row r="105" spans="5:6" x14ac:dyDescent="0.25">
      <c r="E105" t="s">
        <v>546</v>
      </c>
    </row>
    <row r="106" spans="5:6" x14ac:dyDescent="0.25">
      <c r="E106" t="s">
        <v>466</v>
      </c>
    </row>
    <row r="107" spans="5:6" x14ac:dyDescent="0.25">
      <c r="E107" t="s">
        <v>547</v>
      </c>
      <c r="F107" s="3">
        <v>10001525</v>
      </c>
    </row>
    <row r="108" spans="5:6" x14ac:dyDescent="0.25">
      <c r="E108" t="s">
        <v>602</v>
      </c>
    </row>
    <row r="109" spans="5:6" x14ac:dyDescent="0.25">
      <c r="E109" t="s">
        <v>445</v>
      </c>
    </row>
    <row r="110" spans="5:6" x14ac:dyDescent="0.25">
      <c r="E110" t="s">
        <v>432</v>
      </c>
    </row>
    <row r="111" spans="5:6" x14ac:dyDescent="0.25">
      <c r="E111" t="s">
        <v>986</v>
      </c>
    </row>
    <row r="112" spans="5:6" x14ac:dyDescent="0.25">
      <c r="E112" t="s">
        <v>127</v>
      </c>
    </row>
    <row r="113" spans="5:6" x14ac:dyDescent="0.25">
      <c r="E113" t="s">
        <v>604</v>
      </c>
    </row>
    <row r="114" spans="5:6" x14ac:dyDescent="0.25">
      <c r="E114" t="s">
        <v>548</v>
      </c>
      <c r="F114" s="3">
        <v>10013351</v>
      </c>
    </row>
    <row r="115" spans="5:6" x14ac:dyDescent="0.25">
      <c r="E115" t="s">
        <v>404</v>
      </c>
    </row>
    <row r="116" spans="5:6" x14ac:dyDescent="0.25">
      <c r="E116" t="s">
        <v>569</v>
      </c>
    </row>
    <row r="117" spans="5:6" x14ac:dyDescent="0.25">
      <c r="E117" t="s">
        <v>469</v>
      </c>
    </row>
    <row r="118" spans="5:6" x14ac:dyDescent="0.25">
      <c r="E118" t="s">
        <v>467</v>
      </c>
    </row>
    <row r="119" spans="5:6" x14ac:dyDescent="0.25">
      <c r="E119" t="s">
        <v>549</v>
      </c>
      <c r="F119" s="3">
        <v>10001731</v>
      </c>
    </row>
    <row r="120" spans="5:6" x14ac:dyDescent="0.25">
      <c r="E120" t="s">
        <v>450</v>
      </c>
    </row>
    <row r="121" spans="5:6" x14ac:dyDescent="0.25">
      <c r="E121" t="s">
        <v>130</v>
      </c>
    </row>
    <row r="122" spans="5:6" x14ac:dyDescent="0.25">
      <c r="E122" t="s">
        <v>471</v>
      </c>
    </row>
    <row r="123" spans="5:6" x14ac:dyDescent="0.25">
      <c r="E123" t="s">
        <v>248</v>
      </c>
    </row>
    <row r="124" spans="5:6" x14ac:dyDescent="0.25">
      <c r="E124" t="s">
        <v>468</v>
      </c>
    </row>
    <row r="125" spans="5:6" x14ac:dyDescent="0.25">
      <c r="E125" t="s">
        <v>416</v>
      </c>
    </row>
    <row r="126" spans="5:6" x14ac:dyDescent="0.25">
      <c r="E126" t="s">
        <v>473</v>
      </c>
    </row>
    <row r="127" spans="5:6" x14ac:dyDescent="0.25">
      <c r="E127" t="s">
        <v>565</v>
      </c>
    </row>
    <row r="128" spans="5:6" x14ac:dyDescent="0.25">
      <c r="E128" t="s">
        <v>474</v>
      </c>
    </row>
    <row r="129" spans="5:6" x14ac:dyDescent="0.25">
      <c r="E129" t="s">
        <v>335</v>
      </c>
    </row>
    <row r="130" spans="5:6" x14ac:dyDescent="0.25">
      <c r="E130" t="s">
        <v>550</v>
      </c>
      <c r="F130" s="3">
        <v>1001145</v>
      </c>
    </row>
    <row r="131" spans="5:6" x14ac:dyDescent="0.25">
      <c r="E131" t="s">
        <v>383</v>
      </c>
    </row>
    <row r="132" spans="5:6" x14ac:dyDescent="0.25">
      <c r="E132" t="s">
        <v>477</v>
      </c>
    </row>
    <row r="133" spans="5:6" x14ac:dyDescent="0.25">
      <c r="E133" t="s">
        <v>479</v>
      </c>
    </row>
    <row r="134" spans="5:6" x14ac:dyDescent="0.25">
      <c r="E134" t="s">
        <v>605</v>
      </c>
    </row>
    <row r="135" spans="5:6" x14ac:dyDescent="0.25">
      <c r="E135" t="s">
        <v>470</v>
      </c>
    </row>
    <row r="136" spans="5:6" x14ac:dyDescent="0.25">
      <c r="E136" t="s">
        <v>449</v>
      </c>
    </row>
    <row r="137" spans="5:6" x14ac:dyDescent="0.25">
      <c r="E137" t="s">
        <v>478</v>
      </c>
    </row>
    <row r="138" spans="5:6" x14ac:dyDescent="0.25">
      <c r="E138" t="s">
        <v>484</v>
      </c>
    </row>
    <row r="139" spans="5:6" x14ac:dyDescent="0.25">
      <c r="E139" t="s">
        <v>451</v>
      </c>
    </row>
    <row r="140" spans="5:6" x14ac:dyDescent="0.25">
      <c r="E140" t="s">
        <v>458</v>
      </c>
    </row>
    <row r="141" spans="5:6" x14ac:dyDescent="0.25">
      <c r="E141" t="s">
        <v>334</v>
      </c>
    </row>
    <row r="142" spans="5:6" x14ac:dyDescent="0.25">
      <c r="E142" t="s">
        <v>485</v>
      </c>
    </row>
    <row r="143" spans="5:6" x14ac:dyDescent="0.25">
      <c r="E143" t="s">
        <v>251</v>
      </c>
    </row>
    <row r="144" spans="5:6" x14ac:dyDescent="0.25">
      <c r="E144" t="s">
        <v>568</v>
      </c>
    </row>
    <row r="145" spans="5:5" x14ac:dyDescent="0.25">
      <c r="E145" t="s">
        <v>338</v>
      </c>
    </row>
    <row r="146" spans="5:5" x14ac:dyDescent="0.25">
      <c r="E146" t="s">
        <v>600</v>
      </c>
    </row>
    <row r="147" spans="5:5" x14ac:dyDescent="0.25">
      <c r="E147" t="s">
        <v>413</v>
      </c>
    </row>
    <row r="148" spans="5:5" x14ac:dyDescent="0.25">
      <c r="E148" t="s">
        <v>551</v>
      </c>
    </row>
    <row r="149" spans="5:5" x14ac:dyDescent="0.25">
      <c r="E149" t="s">
        <v>552</v>
      </c>
    </row>
    <row r="150" spans="5:5" x14ac:dyDescent="0.25">
      <c r="E150" t="s">
        <v>410</v>
      </c>
    </row>
    <row r="151" spans="5:5" x14ac:dyDescent="0.25">
      <c r="E151" t="s">
        <v>381</v>
      </c>
    </row>
    <row r="152" spans="5:5" x14ac:dyDescent="0.25">
      <c r="E152" t="s">
        <v>599</v>
      </c>
    </row>
    <row r="153" spans="5:5" x14ac:dyDescent="0.25">
      <c r="E153" t="s">
        <v>492</v>
      </c>
    </row>
    <row r="154" spans="5:5" x14ac:dyDescent="0.25">
      <c r="E154" t="s">
        <v>553</v>
      </c>
    </row>
    <row r="155" spans="5:5" x14ac:dyDescent="0.25">
      <c r="E155" t="s">
        <v>572</v>
      </c>
    </row>
    <row r="156" spans="5:5" x14ac:dyDescent="0.25">
      <c r="E156" t="s">
        <v>123</v>
      </c>
    </row>
    <row r="157" spans="5:5" x14ac:dyDescent="0.25">
      <c r="E157" t="s">
        <v>472</v>
      </c>
    </row>
    <row r="158" spans="5:5" x14ac:dyDescent="0.25">
      <c r="E158" t="s">
        <v>386</v>
      </c>
    </row>
    <row r="159" spans="5:5" x14ac:dyDescent="0.25">
      <c r="E159" t="s">
        <v>577</v>
      </c>
    </row>
    <row r="160" spans="5:5" x14ac:dyDescent="0.25">
      <c r="E160" t="s">
        <v>487</v>
      </c>
    </row>
    <row r="161" spans="5:5" x14ac:dyDescent="0.25">
      <c r="E161" t="s">
        <v>598</v>
      </c>
    </row>
    <row r="162" spans="5:5" x14ac:dyDescent="0.25">
      <c r="E162" t="s">
        <v>443</v>
      </c>
    </row>
    <row r="163" spans="5:5" x14ac:dyDescent="0.25">
      <c r="E163" t="s">
        <v>554</v>
      </c>
    </row>
    <row r="164" spans="5:5" x14ac:dyDescent="0.25">
      <c r="E164" t="s">
        <v>402</v>
      </c>
    </row>
    <row r="165" spans="5:5" x14ac:dyDescent="0.25">
      <c r="E165" t="s">
        <v>429</v>
      </c>
    </row>
    <row r="166" spans="5:5" x14ac:dyDescent="0.25">
      <c r="E166" t="s">
        <v>563</v>
      </c>
    </row>
    <row r="167" spans="5:5" x14ac:dyDescent="0.25">
      <c r="E167" t="s">
        <v>124</v>
      </c>
    </row>
    <row r="168" spans="5:5" x14ac:dyDescent="0.25">
      <c r="E168" t="s">
        <v>380</v>
      </c>
    </row>
    <row r="169" spans="5:5" x14ac:dyDescent="0.25">
      <c r="E169" t="s">
        <v>431</v>
      </c>
    </row>
    <row r="170" spans="5:5" x14ac:dyDescent="0.25">
      <c r="E170" t="s">
        <v>399</v>
      </c>
    </row>
    <row r="171" spans="5:5" x14ac:dyDescent="0.25">
      <c r="E171" t="s">
        <v>499</v>
      </c>
    </row>
    <row r="172" spans="5:5" x14ac:dyDescent="0.25">
      <c r="E172" t="s">
        <v>500</v>
      </c>
    </row>
    <row r="173" spans="5:5" x14ac:dyDescent="0.25">
      <c r="E173" t="s">
        <v>501</v>
      </c>
    </row>
    <row r="174" spans="5:5" x14ac:dyDescent="0.25">
      <c r="E174" t="s">
        <v>444</v>
      </c>
    </row>
    <row r="175" spans="5:5" x14ac:dyDescent="0.25">
      <c r="E175" t="s">
        <v>488</v>
      </c>
    </row>
    <row r="176" spans="5:5" x14ac:dyDescent="0.25">
      <c r="E176" t="s">
        <v>606</v>
      </c>
    </row>
    <row r="177" spans="5:5" x14ac:dyDescent="0.25">
      <c r="E177" t="s">
        <v>496</v>
      </c>
    </row>
    <row r="178" spans="5:5" x14ac:dyDescent="0.25">
      <c r="E178" t="s">
        <v>502</v>
      </c>
    </row>
    <row r="179" spans="5:5" x14ac:dyDescent="0.25">
      <c r="E179" t="s">
        <v>489</v>
      </c>
    </row>
    <row r="180" spans="5:5" x14ac:dyDescent="0.25">
      <c r="E180" t="s">
        <v>503</v>
      </c>
    </row>
    <row r="181" spans="5:5" x14ac:dyDescent="0.25">
      <c r="E181" t="s">
        <v>422</v>
      </c>
    </row>
    <row r="182" spans="5:5" x14ac:dyDescent="0.25">
      <c r="E182" t="s">
        <v>249</v>
      </c>
    </row>
    <row r="183" spans="5:5" x14ac:dyDescent="0.25">
      <c r="E183" t="s">
        <v>491</v>
      </c>
    </row>
    <row r="184" spans="5:5" x14ac:dyDescent="0.25">
      <c r="E184" t="s">
        <v>442</v>
      </c>
    </row>
    <row r="185" spans="5:5" x14ac:dyDescent="0.25">
      <c r="E185" t="s">
        <v>395</v>
      </c>
    </row>
    <row r="186" spans="5:5" x14ac:dyDescent="0.25">
      <c r="E186" t="s">
        <v>574</v>
      </c>
    </row>
    <row r="187" spans="5:5" x14ac:dyDescent="0.25">
      <c r="E187" t="s">
        <v>333</v>
      </c>
    </row>
    <row r="188" spans="5:5" x14ac:dyDescent="0.25">
      <c r="E188" t="s">
        <v>505</v>
      </c>
    </row>
    <row r="189" spans="5:5" x14ac:dyDescent="0.25">
      <c r="E189" t="s">
        <v>587</v>
      </c>
    </row>
    <row r="190" spans="5:5" x14ac:dyDescent="0.25">
      <c r="E190" t="s">
        <v>595</v>
      </c>
    </row>
    <row r="191" spans="5:5" x14ac:dyDescent="0.25">
      <c r="E191" t="s">
        <v>596</v>
      </c>
    </row>
    <row r="192" spans="5:5" x14ac:dyDescent="0.25">
      <c r="E192" t="s">
        <v>481</v>
      </c>
    </row>
    <row r="193" spans="5:5" x14ac:dyDescent="0.25">
      <c r="E193" t="s">
        <v>418</v>
      </c>
    </row>
    <row r="194" spans="5:5" x14ac:dyDescent="0.25">
      <c r="E194" t="s">
        <v>589</v>
      </c>
    </row>
    <row r="195" spans="5:5" x14ac:dyDescent="0.25">
      <c r="E195" t="s">
        <v>570</v>
      </c>
    </row>
    <row r="196" spans="5:5" x14ac:dyDescent="0.25">
      <c r="E196" t="s">
        <v>579</v>
      </c>
    </row>
    <row r="197" spans="5:5" x14ac:dyDescent="0.25">
      <c r="E197" t="s">
        <v>129</v>
      </c>
    </row>
    <row r="198" spans="5:5" x14ac:dyDescent="0.25">
      <c r="E198" t="s">
        <v>556</v>
      </c>
    </row>
    <row r="199" spans="5:5" x14ac:dyDescent="0.25">
      <c r="E199" t="s">
        <v>384</v>
      </c>
    </row>
    <row r="200" spans="5:5" x14ac:dyDescent="0.25">
      <c r="E200" t="s">
        <v>461</v>
      </c>
    </row>
    <row r="201" spans="5:5" x14ac:dyDescent="0.25">
      <c r="E201" t="s">
        <v>464</v>
      </c>
    </row>
    <row r="202" spans="5:5" x14ac:dyDescent="0.25">
      <c r="E202" t="s">
        <v>506</v>
      </c>
    </row>
    <row r="203" spans="5:5" x14ac:dyDescent="0.25">
      <c r="E203" t="s">
        <v>455</v>
      </c>
    </row>
    <row r="204" spans="5:5" x14ac:dyDescent="0.25">
      <c r="E204" t="s">
        <v>483</v>
      </c>
    </row>
    <row r="205" spans="5:5" x14ac:dyDescent="0.25">
      <c r="E205" t="s">
        <v>330</v>
      </c>
    </row>
    <row r="206" spans="5:5" x14ac:dyDescent="0.25">
      <c r="E206" t="s">
        <v>330</v>
      </c>
    </row>
    <row r="207" spans="5:5" x14ac:dyDescent="0.25">
      <c r="E207" t="s">
        <v>382</v>
      </c>
    </row>
    <row r="208" spans="5:5" x14ac:dyDescent="0.25">
      <c r="E208" t="s">
        <v>573</v>
      </c>
    </row>
    <row r="209" spans="5:5" x14ac:dyDescent="0.25">
      <c r="E209" t="s">
        <v>508</v>
      </c>
    </row>
    <row r="210" spans="5:5" x14ac:dyDescent="0.25">
      <c r="E210" t="s">
        <v>428</v>
      </c>
    </row>
    <row r="211" spans="5:5" x14ac:dyDescent="0.25">
      <c r="E211" t="s">
        <v>571</v>
      </c>
    </row>
    <row r="212" spans="5:5" x14ac:dyDescent="0.25">
      <c r="E212" t="s">
        <v>497</v>
      </c>
    </row>
    <row r="213" spans="5:5" x14ac:dyDescent="0.25">
      <c r="E213" t="s">
        <v>439</v>
      </c>
    </row>
    <row r="214" spans="5:5" x14ac:dyDescent="0.25">
      <c r="E214" t="s">
        <v>509</v>
      </c>
    </row>
    <row r="215" spans="5:5" x14ac:dyDescent="0.25">
      <c r="E215" t="s">
        <v>435</v>
      </c>
    </row>
    <row r="216" spans="5:5" x14ac:dyDescent="0.25">
      <c r="E216" t="s">
        <v>415</v>
      </c>
    </row>
    <row r="217" spans="5:5" x14ac:dyDescent="0.25">
      <c r="E217" t="s">
        <v>510</v>
      </c>
    </row>
    <row r="218" spans="5:5" x14ac:dyDescent="0.25">
      <c r="E218" t="s">
        <v>426</v>
      </c>
    </row>
    <row r="219" spans="5:5" x14ac:dyDescent="0.25">
      <c r="E219" t="s">
        <v>424</v>
      </c>
    </row>
    <row r="220" spans="5:5" x14ac:dyDescent="0.25">
      <c r="E220" t="s">
        <v>511</v>
      </c>
    </row>
    <row r="221" spans="5:5" x14ac:dyDescent="0.25">
      <c r="E221" t="s">
        <v>594</v>
      </c>
    </row>
    <row r="222" spans="5:5" x14ac:dyDescent="0.25">
      <c r="E222" t="s">
        <v>398</v>
      </c>
    </row>
    <row r="223" spans="5:5" x14ac:dyDescent="0.25">
      <c r="E223" t="s">
        <v>498</v>
      </c>
    </row>
    <row r="224" spans="5:5" x14ac:dyDescent="0.25">
      <c r="E224" t="s">
        <v>339</v>
      </c>
    </row>
    <row r="225" spans="5:5" x14ac:dyDescent="0.25">
      <c r="E225" t="s">
        <v>476</v>
      </c>
    </row>
    <row r="226" spans="5:5" x14ac:dyDescent="0.25">
      <c r="E226" t="s">
        <v>425</v>
      </c>
    </row>
    <row r="227" spans="5:5" x14ac:dyDescent="0.25">
      <c r="E227" t="s">
        <v>608</v>
      </c>
    </row>
    <row r="228" spans="5:5" x14ac:dyDescent="0.25">
      <c r="E228" t="s">
        <v>507</v>
      </c>
    </row>
    <row r="229" spans="5:5" x14ac:dyDescent="0.25">
      <c r="E229" t="s">
        <v>423</v>
      </c>
    </row>
    <row r="230" spans="5:5" x14ac:dyDescent="0.25">
      <c r="E230" t="s">
        <v>557</v>
      </c>
    </row>
    <row r="231" spans="5:5" x14ac:dyDescent="0.25">
      <c r="E231" t="s">
        <v>603</v>
      </c>
    </row>
    <row r="232" spans="5:5" x14ac:dyDescent="0.25">
      <c r="E232" t="s">
        <v>337</v>
      </c>
    </row>
    <row r="233" spans="5:5" x14ac:dyDescent="0.25">
      <c r="E233" t="s">
        <v>512</v>
      </c>
    </row>
    <row r="234" spans="5:5" x14ac:dyDescent="0.25">
      <c r="E234" t="s">
        <v>128</v>
      </c>
    </row>
    <row r="235" spans="5:5" x14ac:dyDescent="0.25">
      <c r="E235" t="s">
        <v>592</v>
      </c>
    </row>
    <row r="236" spans="5:5" x14ac:dyDescent="0.25">
      <c r="E236" t="s">
        <v>513</v>
      </c>
    </row>
    <row r="237" spans="5:5" x14ac:dyDescent="0.25">
      <c r="E237" t="s">
        <v>514</v>
      </c>
    </row>
    <row r="238" spans="5:5" x14ac:dyDescent="0.25">
      <c r="E238" t="s">
        <v>516</v>
      </c>
    </row>
    <row r="239" spans="5:5" x14ac:dyDescent="0.25">
      <c r="E239" t="s">
        <v>601</v>
      </c>
    </row>
    <row r="240" spans="5:5" x14ac:dyDescent="0.25">
      <c r="E240" t="s">
        <v>558</v>
      </c>
    </row>
    <row r="241" spans="5:5" x14ac:dyDescent="0.25">
      <c r="E241" t="s">
        <v>331</v>
      </c>
    </row>
    <row r="242" spans="5:5" x14ac:dyDescent="0.25">
      <c r="E242" t="s">
        <v>584</v>
      </c>
    </row>
    <row r="243" spans="5:5" x14ac:dyDescent="0.25">
      <c r="E243" t="s">
        <v>388</v>
      </c>
    </row>
    <row r="244" spans="5:5" x14ac:dyDescent="0.25">
      <c r="E244" t="s">
        <v>388</v>
      </c>
    </row>
    <row r="245" spans="5:5" x14ac:dyDescent="0.25">
      <c r="E245" t="s">
        <v>475</v>
      </c>
    </row>
    <row r="246" spans="5:5" x14ac:dyDescent="0.25">
      <c r="E246" t="s">
        <v>559</v>
      </c>
    </row>
    <row r="247" spans="5:5" x14ac:dyDescent="0.25">
      <c r="E247" t="s">
        <v>389</v>
      </c>
    </row>
    <row r="248" spans="5:5" x14ac:dyDescent="0.25">
      <c r="E248" t="s">
        <v>517</v>
      </c>
    </row>
    <row r="249" spans="5:5" x14ac:dyDescent="0.25">
      <c r="E249" t="s">
        <v>555</v>
      </c>
    </row>
    <row r="250" spans="5:5" x14ac:dyDescent="0.25">
      <c r="E250" t="s">
        <v>566</v>
      </c>
    </row>
    <row r="251" spans="5:5" x14ac:dyDescent="0.25">
      <c r="E251" t="s">
        <v>493</v>
      </c>
    </row>
    <row r="252" spans="5:5" x14ac:dyDescent="0.25">
      <c r="E252" t="s">
        <v>486</v>
      </c>
    </row>
    <row r="253" spans="5:5" x14ac:dyDescent="0.25">
      <c r="E253" t="s">
        <v>417</v>
      </c>
    </row>
    <row r="254" spans="5:5" x14ac:dyDescent="0.25">
      <c r="E254" t="s">
        <v>561</v>
      </c>
    </row>
    <row r="255" spans="5:5" x14ac:dyDescent="0.25">
      <c r="E255" t="s">
        <v>564</v>
      </c>
    </row>
    <row r="256" spans="5:5" x14ac:dyDescent="0.25">
      <c r="E256" t="s">
        <v>578</v>
      </c>
    </row>
    <row r="257" spans="5:5" x14ac:dyDescent="0.25">
      <c r="E257" t="s">
        <v>397</v>
      </c>
    </row>
    <row r="258" spans="5:5" x14ac:dyDescent="0.25">
      <c r="E258" t="s">
        <v>518</v>
      </c>
    </row>
    <row r="259" spans="5:5" x14ac:dyDescent="0.25">
      <c r="E259" t="s">
        <v>988</v>
      </c>
    </row>
    <row r="260" spans="5:5" x14ac:dyDescent="0.25">
      <c r="E260" t="s">
        <v>482</v>
      </c>
    </row>
    <row r="261" spans="5:5" x14ac:dyDescent="0.25">
      <c r="E261" t="s">
        <v>270</v>
      </c>
    </row>
    <row r="262" spans="5:5" x14ac:dyDescent="0.25">
      <c r="E262" t="s">
        <v>987</v>
      </c>
    </row>
    <row r="263" spans="5:5" x14ac:dyDescent="0.25">
      <c r="E263" t="s">
        <v>519</v>
      </c>
    </row>
    <row r="264" spans="5:5" x14ac:dyDescent="0.25">
      <c r="E264" t="s">
        <v>126</v>
      </c>
    </row>
    <row r="265" spans="5:5" x14ac:dyDescent="0.25">
      <c r="E265" t="s">
        <v>580</v>
      </c>
    </row>
    <row r="266" spans="5:5" x14ac:dyDescent="0.25">
      <c r="E266" t="s">
        <v>391</v>
      </c>
    </row>
    <row r="267" spans="5:5" x14ac:dyDescent="0.25">
      <c r="E267" t="s">
        <v>414</v>
      </c>
    </row>
    <row r="268" spans="5:5" x14ac:dyDescent="0.25">
      <c r="E268" t="s">
        <v>462</v>
      </c>
    </row>
    <row r="269" spans="5:5" x14ac:dyDescent="0.25">
      <c r="E269" t="s">
        <v>560</v>
      </c>
    </row>
    <row r="270" spans="5:5" x14ac:dyDescent="0.25">
      <c r="E270" t="s">
        <v>463</v>
      </c>
    </row>
    <row r="271" spans="5:5" x14ac:dyDescent="0.25">
      <c r="E271" t="s">
        <v>336</v>
      </c>
    </row>
    <row r="272" spans="5:5" x14ac:dyDescent="0.25">
      <c r="E272" t="s">
        <v>494</v>
      </c>
    </row>
    <row r="273" spans="5:5" x14ac:dyDescent="0.25">
      <c r="E273" t="s">
        <v>394</v>
      </c>
    </row>
    <row r="274" spans="5:5" x14ac:dyDescent="0.25">
      <c r="E274" t="s">
        <v>586</v>
      </c>
    </row>
    <row r="275" spans="5:5" x14ac:dyDescent="0.25">
      <c r="E275" t="s">
        <v>408</v>
      </c>
    </row>
    <row r="276" spans="5:5" x14ac:dyDescent="0.25">
      <c r="E276" t="s">
        <v>520</v>
      </c>
    </row>
    <row r="277" spans="5:5" x14ac:dyDescent="0.25">
      <c r="E277" t="s">
        <v>521</v>
      </c>
    </row>
    <row r="278" spans="5:5" x14ac:dyDescent="0.25">
      <c r="E278" t="s">
        <v>495</v>
      </c>
    </row>
    <row r="279" spans="5:5" x14ac:dyDescent="0.25">
      <c r="E279" t="s">
        <v>522</v>
      </c>
    </row>
    <row r="280" spans="5:5" x14ac:dyDescent="0.25">
      <c r="E280" t="s">
        <v>523</v>
      </c>
    </row>
    <row r="281" spans="5:5" x14ac:dyDescent="0.25">
      <c r="E281" t="s">
        <v>460</v>
      </c>
    </row>
    <row r="282" spans="5:5" x14ac:dyDescent="0.25">
      <c r="E282" t="s">
        <v>401</v>
      </c>
    </row>
    <row r="283" spans="5:5" x14ac:dyDescent="0.25">
      <c r="E283" t="s">
        <v>524</v>
      </c>
    </row>
    <row r="284" spans="5:5" x14ac:dyDescent="0.25">
      <c r="E284" t="s">
        <v>525</v>
      </c>
    </row>
    <row r="285" spans="5:5" x14ac:dyDescent="0.25">
      <c r="E285" t="s">
        <v>526</v>
      </c>
    </row>
    <row r="286" spans="5:5" x14ac:dyDescent="0.25">
      <c r="E286" t="s">
        <v>457</v>
      </c>
    </row>
    <row r="287" spans="5:5" x14ac:dyDescent="0.25">
      <c r="E287" t="s">
        <v>427</v>
      </c>
    </row>
    <row r="288" spans="5:5" x14ac:dyDescent="0.25">
      <c r="E288" t="s">
        <v>588</v>
      </c>
    </row>
    <row r="289" spans="5:5" x14ac:dyDescent="0.25">
      <c r="E289" t="s">
        <v>459</v>
      </c>
    </row>
    <row r="290" spans="5:5" x14ac:dyDescent="0.25">
      <c r="E290" t="s">
        <v>527</v>
      </c>
    </row>
    <row r="291" spans="5:5" x14ac:dyDescent="0.25">
      <c r="E291" t="s">
        <v>585</v>
      </c>
    </row>
    <row r="292" spans="5:5" x14ac:dyDescent="0.25">
      <c r="E292" t="s">
        <v>567</v>
      </c>
    </row>
    <row r="293" spans="5:5" x14ac:dyDescent="0.25">
      <c r="E293" t="s">
        <v>390</v>
      </c>
    </row>
    <row r="294" spans="5:5" x14ac:dyDescent="0.25">
      <c r="E294" t="s">
        <v>250</v>
      </c>
    </row>
    <row r="295" spans="5:5" x14ac:dyDescent="0.25">
      <c r="E295" t="s">
        <v>528</v>
      </c>
    </row>
    <row r="296" spans="5:5" x14ac:dyDescent="0.25">
      <c r="E296" t="s">
        <v>490</v>
      </c>
    </row>
    <row r="297" spans="5:5" x14ac:dyDescent="0.25">
      <c r="E297" t="s">
        <v>456</v>
      </c>
    </row>
    <row r="298" spans="5:5" x14ac:dyDescent="0.25">
      <c r="E298" t="s">
        <v>456</v>
      </c>
    </row>
    <row r="299" spans="5:5" x14ac:dyDescent="0.25">
      <c r="E299" t="s">
        <v>447</v>
      </c>
    </row>
    <row r="300" spans="5:5" x14ac:dyDescent="0.25">
      <c r="E300" t="s">
        <v>433</v>
      </c>
    </row>
    <row r="301" spans="5:5" x14ac:dyDescent="0.25">
      <c r="E301" t="s">
        <v>131</v>
      </c>
    </row>
    <row r="302" spans="5:5" x14ac:dyDescent="0.25">
      <c r="E302" t="s">
        <v>480</v>
      </c>
    </row>
    <row r="303" spans="5:5" x14ac:dyDescent="0.25">
      <c r="E303" t="s">
        <v>529</v>
      </c>
    </row>
    <row r="304" spans="5:5" x14ac:dyDescent="0.25">
      <c r="E304" t="s">
        <v>421</v>
      </c>
    </row>
    <row r="305" spans="5:5" x14ac:dyDescent="0.25">
      <c r="E305" t="s">
        <v>530</v>
      </c>
    </row>
    <row r="306" spans="5:5" x14ac:dyDescent="0.25">
      <c r="E306" t="s">
        <v>607</v>
      </c>
    </row>
    <row r="307" spans="5:5" x14ac:dyDescent="0.25">
      <c r="E307" t="s">
        <v>515</v>
      </c>
    </row>
    <row r="308" spans="5:5" x14ac:dyDescent="0.25">
      <c r="E308" t="s">
        <v>504</v>
      </c>
    </row>
    <row r="309" spans="5:5" x14ac:dyDescent="0.25">
      <c r="E309" t="s">
        <v>531</v>
      </c>
    </row>
    <row r="310" spans="5:5" x14ac:dyDescent="0.25">
      <c r="E310" t="s">
        <v>562</v>
      </c>
    </row>
    <row r="311" spans="5:5" x14ac:dyDescent="0.25">
      <c r="E311" t="s">
        <v>406</v>
      </c>
    </row>
    <row r="312" spans="5:5" x14ac:dyDescent="0.25">
      <c r="E312" t="s">
        <v>583</v>
      </c>
    </row>
  </sheetData>
  <sortState xmlns:xlrd2="http://schemas.microsoft.com/office/spreadsheetml/2017/richdata2" ref="E2:F312">
    <sortCondition ref="E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I117"/>
  <sheetViews>
    <sheetView workbookViewId="0">
      <pane ySplit="1" topLeftCell="A2" activePane="bottomLeft" state="frozen"/>
      <selection activeCell="F34" sqref="F34"/>
      <selection pane="bottomLeft"/>
    </sheetView>
  </sheetViews>
  <sheetFormatPr defaultColWidth="9.140625" defaultRowHeight="15" x14ac:dyDescent="0.25"/>
  <cols>
    <col min="1" max="1" width="18.85546875" style="20" customWidth="1"/>
    <col min="2" max="2" width="16.5703125" style="21" customWidth="1"/>
    <col min="3" max="3" width="43.5703125" style="22" customWidth="1"/>
    <col min="4" max="4" width="46.85546875" style="10" customWidth="1"/>
    <col min="5" max="5" width="18.28515625" style="7" customWidth="1"/>
    <col min="6" max="6" width="18.85546875" style="20" customWidth="1"/>
    <col min="7" max="7" width="15.85546875" style="32" bestFit="1" customWidth="1"/>
    <col min="8" max="8" width="63" customWidth="1"/>
  </cols>
  <sheetData>
    <row r="1" spans="1:9" s="2" customFormat="1" x14ac:dyDescent="0.25">
      <c r="A1" s="17" t="s">
        <v>67</v>
      </c>
      <c r="B1" s="2" t="s">
        <v>71</v>
      </c>
      <c r="C1" s="2" t="s">
        <v>68</v>
      </c>
      <c r="D1" s="11" t="s">
        <v>69</v>
      </c>
      <c r="E1" s="11" t="s">
        <v>219</v>
      </c>
      <c r="F1" s="17" t="s">
        <v>153</v>
      </c>
      <c r="G1" s="31" t="s">
        <v>220</v>
      </c>
      <c r="H1" s="2" t="s">
        <v>73</v>
      </c>
    </row>
    <row r="2" spans="1:9" x14ac:dyDescent="0.25">
      <c r="A2" s="18">
        <v>43759</v>
      </c>
      <c r="B2" s="3" t="s">
        <v>999</v>
      </c>
      <c r="C2" s="19" t="s">
        <v>637</v>
      </c>
      <c r="D2" t="s">
        <v>1000</v>
      </c>
      <c r="E2" s="7">
        <v>4939.8249999999998</v>
      </c>
      <c r="F2" s="18">
        <v>43789</v>
      </c>
      <c r="G2" s="32">
        <f ca="1">SUM(F2-TODAY())</f>
        <v>-1531</v>
      </c>
      <c r="H2" t="s">
        <v>1001</v>
      </c>
    </row>
    <row r="3" spans="1:9" x14ac:dyDescent="0.25">
      <c r="A3" s="18">
        <v>43754</v>
      </c>
      <c r="B3" s="3" t="s">
        <v>1002</v>
      </c>
      <c r="C3" s="19" t="s">
        <v>637</v>
      </c>
      <c r="D3" t="s">
        <v>1003</v>
      </c>
      <c r="E3" s="7">
        <v>5169.3649999999998</v>
      </c>
      <c r="F3" s="18">
        <v>43784</v>
      </c>
      <c r="G3" s="32">
        <f ca="1">SUM(F3-TODAY())</f>
        <v>-1536</v>
      </c>
      <c r="H3" t="s">
        <v>1004</v>
      </c>
    </row>
    <row r="4" spans="1:9" x14ac:dyDescent="0.25">
      <c r="A4" s="18">
        <v>43748</v>
      </c>
      <c r="B4" s="3" t="s">
        <v>636</v>
      </c>
      <c r="C4" s="19" t="s">
        <v>637</v>
      </c>
      <c r="D4" t="s">
        <v>638</v>
      </c>
      <c r="E4" s="7">
        <v>6937.87</v>
      </c>
      <c r="F4" s="18">
        <v>43778</v>
      </c>
      <c r="G4" s="32">
        <f ca="1">SUM(F4-TODAY())</f>
        <v>-1542</v>
      </c>
      <c r="H4" t="s">
        <v>639</v>
      </c>
    </row>
    <row r="5" spans="1:9" x14ac:dyDescent="0.25">
      <c r="A5" s="18">
        <v>43740</v>
      </c>
      <c r="B5" s="3" t="s">
        <v>640</v>
      </c>
      <c r="C5" s="19" t="s">
        <v>637</v>
      </c>
      <c r="D5" t="s">
        <v>641</v>
      </c>
      <c r="E5" s="7">
        <v>6937.87</v>
      </c>
      <c r="F5" s="18">
        <v>43770</v>
      </c>
      <c r="G5" s="32">
        <f t="shared" ref="G5:G13" ca="1" si="0">SUM(F5-TODAY())</f>
        <v>-1550</v>
      </c>
      <c r="H5" t="s">
        <v>642</v>
      </c>
    </row>
    <row r="6" spans="1:9" x14ac:dyDescent="0.25">
      <c r="A6" s="18">
        <v>43740</v>
      </c>
      <c r="B6" s="3" t="s">
        <v>643</v>
      </c>
      <c r="C6" s="19" t="s">
        <v>637</v>
      </c>
      <c r="D6" t="s">
        <v>641</v>
      </c>
      <c r="E6" s="7">
        <v>6768.72</v>
      </c>
      <c r="F6" s="18">
        <v>43770</v>
      </c>
      <c r="G6" s="32">
        <f t="shared" ca="1" si="0"/>
        <v>-1550</v>
      </c>
      <c r="H6" t="s">
        <v>644</v>
      </c>
    </row>
    <row r="7" spans="1:9" x14ac:dyDescent="0.25">
      <c r="A7" s="18">
        <v>43740</v>
      </c>
      <c r="B7" s="3" t="s">
        <v>645</v>
      </c>
      <c r="C7" s="19" t="s">
        <v>637</v>
      </c>
      <c r="D7" t="s">
        <v>646</v>
      </c>
      <c r="E7" s="7">
        <v>6926.1570000000002</v>
      </c>
      <c r="F7" s="18">
        <v>43770</v>
      </c>
      <c r="G7" s="32">
        <f t="shared" ca="1" si="0"/>
        <v>-1550</v>
      </c>
      <c r="H7" t="s">
        <v>647</v>
      </c>
      <c r="I7" s="7"/>
    </row>
    <row r="8" spans="1:9" x14ac:dyDescent="0.25">
      <c r="A8" s="18">
        <v>43707</v>
      </c>
      <c r="B8" s="3" t="s">
        <v>648</v>
      </c>
      <c r="C8" s="19" t="s">
        <v>637</v>
      </c>
      <c r="D8" t="s">
        <v>649</v>
      </c>
      <c r="E8" s="7">
        <v>7292.83</v>
      </c>
      <c r="F8" s="18">
        <v>43737</v>
      </c>
      <c r="G8" s="32">
        <f t="shared" ca="1" si="0"/>
        <v>-1583</v>
      </c>
      <c r="H8" t="s">
        <v>650</v>
      </c>
      <c r="I8" s="7"/>
    </row>
    <row r="9" spans="1:9" x14ac:dyDescent="0.25">
      <c r="A9" s="18">
        <v>43669</v>
      </c>
      <c r="B9" s="3" t="s">
        <v>651</v>
      </c>
      <c r="C9" s="19" t="s">
        <v>637</v>
      </c>
      <c r="D9" t="s">
        <v>652</v>
      </c>
      <c r="E9" s="7">
        <v>7281.4400000000005</v>
      </c>
      <c r="F9" s="18">
        <v>43692</v>
      </c>
      <c r="G9" s="32">
        <f t="shared" ca="1" si="0"/>
        <v>-1628</v>
      </c>
      <c r="H9" t="s">
        <v>653</v>
      </c>
      <c r="I9" s="7"/>
    </row>
    <row r="10" spans="1:9" x14ac:dyDescent="0.25">
      <c r="A10" s="18">
        <v>43638</v>
      </c>
      <c r="B10" s="3" t="s">
        <v>654</v>
      </c>
      <c r="C10" s="19" t="s">
        <v>655</v>
      </c>
      <c r="D10" t="s">
        <v>656</v>
      </c>
      <c r="E10" s="7">
        <v>99.239999999999782</v>
      </c>
      <c r="F10" s="18">
        <v>43668</v>
      </c>
      <c r="G10" s="32">
        <f t="shared" ca="1" si="0"/>
        <v>-1652</v>
      </c>
      <c r="H10" t="s">
        <v>657</v>
      </c>
    </row>
    <row r="11" spans="1:9" x14ac:dyDescent="0.25">
      <c r="A11" s="18">
        <v>43638</v>
      </c>
      <c r="B11" s="3" t="s">
        <v>658</v>
      </c>
      <c r="C11" s="19" t="s">
        <v>659</v>
      </c>
      <c r="D11" t="s">
        <v>660</v>
      </c>
      <c r="E11" s="7">
        <v>733.47000000000025</v>
      </c>
      <c r="F11" s="18">
        <v>43667</v>
      </c>
      <c r="G11" s="32">
        <f t="shared" ca="1" si="0"/>
        <v>-1653</v>
      </c>
      <c r="H11" t="s">
        <v>661</v>
      </c>
      <c r="I11" s="7"/>
    </row>
    <row r="12" spans="1:9" x14ac:dyDescent="0.25">
      <c r="A12" s="18">
        <v>43599</v>
      </c>
      <c r="B12" s="3" t="s">
        <v>662</v>
      </c>
      <c r="C12" s="19" t="s">
        <v>663</v>
      </c>
      <c r="D12" t="s">
        <v>664</v>
      </c>
      <c r="E12" s="7">
        <v>92.869999999999891</v>
      </c>
      <c r="F12" s="18">
        <v>43629</v>
      </c>
      <c r="G12" s="32">
        <f t="shared" ca="1" si="0"/>
        <v>-1691</v>
      </c>
      <c r="H12" t="s">
        <v>665</v>
      </c>
      <c r="I12" s="7"/>
    </row>
    <row r="13" spans="1:9" x14ac:dyDescent="0.25">
      <c r="A13" s="18">
        <v>43584</v>
      </c>
      <c r="B13" s="3" t="s">
        <v>666</v>
      </c>
      <c r="C13" s="19" t="s">
        <v>663</v>
      </c>
      <c r="D13" t="s">
        <v>667</v>
      </c>
      <c r="E13" s="7">
        <v>261</v>
      </c>
      <c r="F13" s="18">
        <v>43614</v>
      </c>
      <c r="G13" s="32">
        <f t="shared" ca="1" si="0"/>
        <v>-1706</v>
      </c>
      <c r="H13" t="s">
        <v>668</v>
      </c>
      <c r="I13" s="7"/>
    </row>
    <row r="14" spans="1:9" x14ac:dyDescent="0.25">
      <c r="I14" s="7"/>
    </row>
    <row r="16" spans="1:9" x14ac:dyDescent="0.25">
      <c r="I16" s="7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4" x14ac:dyDescent="0.25">
      <c r="B49" s="3"/>
    </row>
    <row r="50" spans="2:4" x14ac:dyDescent="0.25">
      <c r="B50" s="3"/>
    </row>
    <row r="51" spans="2:4" x14ac:dyDescent="0.25">
      <c r="B51" s="3"/>
    </row>
    <row r="52" spans="2:4" x14ac:dyDescent="0.25">
      <c r="B52" s="3"/>
    </row>
    <row r="53" spans="2:4" x14ac:dyDescent="0.25">
      <c r="B53" s="3"/>
    </row>
    <row r="54" spans="2:4" x14ac:dyDescent="0.25">
      <c r="B54" s="3"/>
      <c r="D54"/>
    </row>
    <row r="55" spans="2:4" x14ac:dyDescent="0.25">
      <c r="B55" s="3"/>
      <c r="D55"/>
    </row>
    <row r="56" spans="2:4" x14ac:dyDescent="0.25">
      <c r="B56" s="3"/>
      <c r="D56"/>
    </row>
    <row r="57" spans="2:4" x14ac:dyDescent="0.25">
      <c r="B57" s="3"/>
      <c r="D57"/>
    </row>
    <row r="58" spans="2:4" x14ac:dyDescent="0.25">
      <c r="B58" s="3"/>
      <c r="D58"/>
    </row>
    <row r="59" spans="2:4" x14ac:dyDescent="0.25">
      <c r="B59" s="3"/>
      <c r="D59"/>
    </row>
    <row r="60" spans="2:4" x14ac:dyDescent="0.25">
      <c r="B60" s="3"/>
      <c r="D60"/>
    </row>
    <row r="67" spans="2:4" x14ac:dyDescent="0.25">
      <c r="B67" s="3"/>
      <c r="D67"/>
    </row>
    <row r="68" spans="2:4" x14ac:dyDescent="0.25">
      <c r="B68" s="3"/>
      <c r="D68"/>
    </row>
    <row r="69" spans="2:4" x14ac:dyDescent="0.25">
      <c r="B69" s="3"/>
      <c r="D69"/>
    </row>
    <row r="70" spans="2:4" x14ac:dyDescent="0.25">
      <c r="B70" s="3"/>
      <c r="D70"/>
    </row>
    <row r="71" spans="2:4" x14ac:dyDescent="0.25">
      <c r="B71" s="3"/>
      <c r="D71"/>
    </row>
    <row r="72" spans="2:4" x14ac:dyDescent="0.25">
      <c r="B72" s="3"/>
      <c r="D72"/>
    </row>
    <row r="73" spans="2:4" x14ac:dyDescent="0.25">
      <c r="B73" s="3"/>
      <c r="D73"/>
    </row>
    <row r="74" spans="2:4" x14ac:dyDescent="0.25">
      <c r="B74" s="3"/>
      <c r="D74"/>
    </row>
    <row r="75" spans="2:4" x14ac:dyDescent="0.25">
      <c r="B75" s="3"/>
      <c r="D75"/>
    </row>
    <row r="76" spans="2:4" x14ac:dyDescent="0.25">
      <c r="B76" s="3"/>
      <c r="D76"/>
    </row>
    <row r="77" spans="2:4" x14ac:dyDescent="0.25">
      <c r="B77" s="3"/>
      <c r="D77"/>
    </row>
    <row r="78" spans="2:4" x14ac:dyDescent="0.25">
      <c r="B78" s="3"/>
      <c r="D78"/>
    </row>
    <row r="79" spans="2:4" x14ac:dyDescent="0.25">
      <c r="B79" s="3"/>
      <c r="D79"/>
    </row>
    <row r="80" spans="2:4" x14ac:dyDescent="0.25">
      <c r="B80" s="3"/>
      <c r="D80"/>
    </row>
    <row r="81" spans="2:4" x14ac:dyDescent="0.25">
      <c r="B81" s="3"/>
      <c r="D81"/>
    </row>
    <row r="82" spans="2:4" x14ac:dyDescent="0.25">
      <c r="B82" s="3"/>
      <c r="D82"/>
    </row>
    <row r="83" spans="2:4" x14ac:dyDescent="0.25">
      <c r="B83" s="3"/>
      <c r="D83"/>
    </row>
    <row r="84" spans="2:4" x14ac:dyDescent="0.25">
      <c r="B84" s="3"/>
      <c r="D84"/>
    </row>
    <row r="85" spans="2:4" x14ac:dyDescent="0.25">
      <c r="B85" s="3"/>
      <c r="D85"/>
    </row>
    <row r="86" spans="2:4" x14ac:dyDescent="0.25">
      <c r="B86" s="3"/>
      <c r="D86"/>
    </row>
    <row r="87" spans="2:4" x14ac:dyDescent="0.25">
      <c r="B87" s="3"/>
      <c r="D87"/>
    </row>
    <row r="88" spans="2:4" x14ac:dyDescent="0.25">
      <c r="B88" s="3"/>
      <c r="D88"/>
    </row>
    <row r="89" spans="2:4" x14ac:dyDescent="0.25">
      <c r="B89" s="3"/>
      <c r="D89"/>
    </row>
    <row r="90" spans="2:4" x14ac:dyDescent="0.25">
      <c r="B90" s="3"/>
      <c r="D90"/>
    </row>
    <row r="91" spans="2:4" x14ac:dyDescent="0.25">
      <c r="B91" s="3"/>
      <c r="D91"/>
    </row>
    <row r="92" spans="2:4" x14ac:dyDescent="0.25">
      <c r="B92" s="3"/>
      <c r="D92"/>
    </row>
    <row r="93" spans="2:4" x14ac:dyDescent="0.25">
      <c r="B93" s="3"/>
      <c r="D93"/>
    </row>
    <row r="94" spans="2:4" x14ac:dyDescent="0.25">
      <c r="B94" s="3"/>
      <c r="D94"/>
    </row>
    <row r="95" spans="2:4" x14ac:dyDescent="0.25">
      <c r="B95" s="3"/>
      <c r="D95"/>
    </row>
    <row r="96" spans="2:4" x14ac:dyDescent="0.25">
      <c r="B96" s="3"/>
      <c r="D96"/>
    </row>
    <row r="97" spans="2:4" x14ac:dyDescent="0.25">
      <c r="B97" s="3"/>
      <c r="D97"/>
    </row>
    <row r="98" spans="2:4" x14ac:dyDescent="0.25">
      <c r="B98" s="3"/>
      <c r="D98"/>
    </row>
    <row r="99" spans="2:4" x14ac:dyDescent="0.25">
      <c r="B99" s="3"/>
      <c r="D99"/>
    </row>
    <row r="100" spans="2:4" x14ac:dyDescent="0.25">
      <c r="B100" s="3"/>
      <c r="D100"/>
    </row>
    <row r="101" spans="2:4" x14ac:dyDescent="0.25">
      <c r="B101" s="3"/>
      <c r="D101"/>
    </row>
    <row r="102" spans="2:4" x14ac:dyDescent="0.25">
      <c r="B102" s="3"/>
      <c r="D102"/>
    </row>
    <row r="103" spans="2:4" x14ac:dyDescent="0.25">
      <c r="B103" s="3"/>
      <c r="D103"/>
    </row>
    <row r="104" spans="2:4" x14ac:dyDescent="0.25">
      <c r="B104" s="3"/>
      <c r="D104"/>
    </row>
    <row r="105" spans="2:4" x14ac:dyDescent="0.25">
      <c r="B105" s="3"/>
      <c r="D105"/>
    </row>
    <row r="106" spans="2:4" x14ac:dyDescent="0.25">
      <c r="B106" s="3"/>
      <c r="D106"/>
    </row>
    <row r="107" spans="2:4" x14ac:dyDescent="0.25">
      <c r="B107" s="3"/>
      <c r="D107"/>
    </row>
    <row r="108" spans="2:4" x14ac:dyDescent="0.25">
      <c r="B108" s="3"/>
      <c r="D108"/>
    </row>
    <row r="109" spans="2:4" x14ac:dyDescent="0.25">
      <c r="B109" s="3"/>
      <c r="D109"/>
    </row>
    <row r="110" spans="2:4" x14ac:dyDescent="0.25">
      <c r="B110" s="3"/>
      <c r="D110"/>
    </row>
    <row r="111" spans="2:4" x14ac:dyDescent="0.25">
      <c r="B111" s="3"/>
      <c r="D111"/>
    </row>
    <row r="112" spans="2:4" x14ac:dyDescent="0.25">
      <c r="B112" s="3"/>
      <c r="D112"/>
    </row>
    <row r="113" spans="2:4" x14ac:dyDescent="0.25">
      <c r="B113" s="3"/>
      <c r="D113"/>
    </row>
    <row r="114" spans="2:4" x14ac:dyDescent="0.25">
      <c r="B114" s="3"/>
      <c r="D114"/>
    </row>
    <row r="115" spans="2:4" x14ac:dyDescent="0.25">
      <c r="B115" s="3"/>
      <c r="D115"/>
    </row>
    <row r="116" spans="2:4" x14ac:dyDescent="0.25">
      <c r="B116" s="3"/>
      <c r="D116"/>
    </row>
    <row r="117" spans="2:4" x14ac:dyDescent="0.25">
      <c r="B117" s="3"/>
      <c r="D11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177"/>
  <sheetViews>
    <sheetView workbookViewId="0">
      <pane ySplit="1" topLeftCell="A2" activePane="bottomLeft" state="frozen"/>
      <selection activeCell="F34" sqref="F34"/>
      <selection pane="bottomLeft"/>
    </sheetView>
  </sheetViews>
  <sheetFormatPr defaultColWidth="9.140625" defaultRowHeight="15" x14ac:dyDescent="0.25"/>
  <cols>
    <col min="1" max="1" width="18.85546875" style="20" customWidth="1"/>
    <col min="2" max="2" width="43.5703125" style="22" customWidth="1"/>
    <col min="3" max="3" width="46.85546875" style="10" customWidth="1"/>
    <col min="4" max="4" width="17.85546875" style="7" customWidth="1"/>
    <col min="5" max="5" width="16.5703125" style="21" customWidth="1"/>
    <col min="6" max="6" width="34.7109375" customWidth="1"/>
    <col min="7" max="7" width="63" customWidth="1"/>
  </cols>
  <sheetData>
    <row r="1" spans="1:8" s="2" customFormat="1" x14ac:dyDescent="0.25">
      <c r="A1" s="17" t="s">
        <v>67</v>
      </c>
      <c r="B1" s="2" t="s">
        <v>68</v>
      </c>
      <c r="C1" s="11" t="s">
        <v>69</v>
      </c>
      <c r="D1" s="11" t="s">
        <v>70</v>
      </c>
      <c r="E1" s="2" t="s">
        <v>71</v>
      </c>
      <c r="F1" s="2" t="s">
        <v>72</v>
      </c>
      <c r="G1" s="2" t="s">
        <v>73</v>
      </c>
    </row>
    <row r="2" spans="1:8" x14ac:dyDescent="0.25">
      <c r="A2" s="18">
        <v>43686</v>
      </c>
      <c r="B2" s="19" t="s">
        <v>248</v>
      </c>
      <c r="C2" t="s">
        <v>627</v>
      </c>
      <c r="D2" s="7">
        <v>3159.04</v>
      </c>
      <c r="E2" s="3"/>
      <c r="F2" t="s">
        <v>90</v>
      </c>
      <c r="G2" t="s">
        <v>628</v>
      </c>
    </row>
    <row r="3" spans="1:8" x14ac:dyDescent="0.25">
      <c r="A3" s="18">
        <v>42905</v>
      </c>
      <c r="B3" s="19" t="s">
        <v>449</v>
      </c>
      <c r="C3" t="s">
        <v>629</v>
      </c>
      <c r="D3" s="7">
        <v>1500</v>
      </c>
      <c r="E3" s="3"/>
      <c r="F3" t="s">
        <v>114</v>
      </c>
      <c r="G3" t="s">
        <v>630</v>
      </c>
      <c r="H3" s="7"/>
    </row>
    <row r="4" spans="1:8" x14ac:dyDescent="0.25">
      <c r="A4" s="18">
        <v>43059</v>
      </c>
      <c r="B4" s="19" t="s">
        <v>449</v>
      </c>
      <c r="C4" t="s">
        <v>631</v>
      </c>
      <c r="D4" s="7">
        <v>2010</v>
      </c>
      <c r="E4" s="3"/>
      <c r="F4" t="s">
        <v>114</v>
      </c>
      <c r="G4" t="s">
        <v>632</v>
      </c>
      <c r="H4" s="7"/>
    </row>
    <row r="5" spans="1:8" x14ac:dyDescent="0.25">
      <c r="A5" s="18">
        <v>42605</v>
      </c>
      <c r="B5" s="19" t="s">
        <v>249</v>
      </c>
      <c r="C5" t="s">
        <v>271</v>
      </c>
      <c r="D5" s="7">
        <v>1200</v>
      </c>
      <c r="E5" s="3"/>
      <c r="F5" t="s">
        <v>94</v>
      </c>
      <c r="G5" t="s">
        <v>272</v>
      </c>
      <c r="H5" s="7"/>
    </row>
    <row r="6" spans="1:8" x14ac:dyDescent="0.25">
      <c r="A6" s="18">
        <v>42893</v>
      </c>
      <c r="B6" s="19" t="s">
        <v>249</v>
      </c>
      <c r="C6" t="s">
        <v>633</v>
      </c>
      <c r="D6" s="7">
        <v>1200</v>
      </c>
      <c r="E6" s="3"/>
      <c r="F6" t="s">
        <v>94</v>
      </c>
      <c r="G6" t="s">
        <v>634</v>
      </c>
      <c r="H6" s="7"/>
    </row>
    <row r="7" spans="1:8" x14ac:dyDescent="0.25">
      <c r="A7" s="18">
        <v>43684</v>
      </c>
      <c r="B7" s="19" t="s">
        <v>596</v>
      </c>
      <c r="C7" t="s">
        <v>619</v>
      </c>
      <c r="D7" s="7">
        <v>896.2</v>
      </c>
      <c r="E7" s="3"/>
      <c r="F7" t="s">
        <v>100</v>
      </c>
      <c r="G7" t="s">
        <v>635</v>
      </c>
      <c r="H7" s="7"/>
    </row>
    <row r="8" spans="1:8" x14ac:dyDescent="0.25">
      <c r="H8" s="7"/>
    </row>
    <row r="10" spans="1:8" x14ac:dyDescent="0.25">
      <c r="H10" s="7"/>
    </row>
    <row r="11" spans="1:8" x14ac:dyDescent="0.25">
      <c r="E11" s="3"/>
    </row>
    <row r="12" spans="1:8" x14ac:dyDescent="0.25">
      <c r="E12" s="3"/>
    </row>
    <row r="13" spans="1:8" x14ac:dyDescent="0.25">
      <c r="E13" s="3"/>
    </row>
    <row r="14" spans="1:8" x14ac:dyDescent="0.25">
      <c r="E14" s="3"/>
    </row>
    <row r="15" spans="1:8" x14ac:dyDescent="0.25">
      <c r="E15" s="3"/>
    </row>
    <row r="16" spans="1:8" x14ac:dyDescent="0.25">
      <c r="E16" s="3"/>
    </row>
    <row r="17" spans="5:5" x14ac:dyDescent="0.25">
      <c r="E17" s="3"/>
    </row>
    <row r="18" spans="5:5" x14ac:dyDescent="0.25">
      <c r="E18" s="3"/>
    </row>
    <row r="19" spans="5:5" x14ac:dyDescent="0.25">
      <c r="E19" s="3"/>
    </row>
    <row r="20" spans="5:5" x14ac:dyDescent="0.25">
      <c r="E20" s="3"/>
    </row>
    <row r="21" spans="5:5" x14ac:dyDescent="0.25">
      <c r="E21" s="3"/>
    </row>
    <row r="22" spans="5:5" x14ac:dyDescent="0.25">
      <c r="E22" s="3"/>
    </row>
    <row r="23" spans="5:5" x14ac:dyDescent="0.25">
      <c r="E23" s="3"/>
    </row>
    <row r="24" spans="5:5" x14ac:dyDescent="0.25">
      <c r="E24" s="3"/>
    </row>
    <row r="25" spans="5:5" x14ac:dyDescent="0.25">
      <c r="E25" s="3"/>
    </row>
    <row r="26" spans="5:5" x14ac:dyDescent="0.25">
      <c r="E26" s="3"/>
    </row>
    <row r="27" spans="5:5" x14ac:dyDescent="0.25">
      <c r="E27" s="3"/>
    </row>
    <row r="28" spans="5:5" x14ac:dyDescent="0.25">
      <c r="E28" s="3"/>
    </row>
    <row r="29" spans="5:5" x14ac:dyDescent="0.25">
      <c r="E29" s="3"/>
    </row>
    <row r="30" spans="5:5" x14ac:dyDescent="0.25">
      <c r="E30" s="3"/>
    </row>
    <row r="31" spans="5:5" x14ac:dyDescent="0.25">
      <c r="E31" s="3"/>
    </row>
    <row r="32" spans="5:5" x14ac:dyDescent="0.25">
      <c r="E32" s="3"/>
    </row>
    <row r="33" spans="3:5" x14ac:dyDescent="0.25">
      <c r="E33" s="3"/>
    </row>
    <row r="34" spans="3:5" x14ac:dyDescent="0.25">
      <c r="E34" s="3"/>
    </row>
    <row r="35" spans="3:5" x14ac:dyDescent="0.25">
      <c r="E35" s="3"/>
    </row>
    <row r="36" spans="3:5" x14ac:dyDescent="0.25">
      <c r="E36" s="3"/>
    </row>
    <row r="37" spans="3:5" x14ac:dyDescent="0.25">
      <c r="E37" s="3"/>
    </row>
    <row r="38" spans="3:5" x14ac:dyDescent="0.25">
      <c r="E38" s="3"/>
    </row>
    <row r="39" spans="3:5" x14ac:dyDescent="0.25">
      <c r="E39" s="3"/>
    </row>
    <row r="40" spans="3:5" x14ac:dyDescent="0.25">
      <c r="E40" s="3"/>
    </row>
    <row r="41" spans="3:5" x14ac:dyDescent="0.25">
      <c r="E41" s="3"/>
    </row>
    <row r="42" spans="3:5" x14ac:dyDescent="0.25">
      <c r="E42" s="3"/>
    </row>
    <row r="43" spans="3:5" x14ac:dyDescent="0.25">
      <c r="E43" s="3"/>
    </row>
    <row r="44" spans="3:5" x14ac:dyDescent="0.25">
      <c r="E44" s="3"/>
    </row>
    <row r="45" spans="3:5" x14ac:dyDescent="0.25">
      <c r="E45" s="3"/>
    </row>
    <row r="46" spans="3:5" x14ac:dyDescent="0.25">
      <c r="E46" s="3"/>
    </row>
    <row r="47" spans="3:5" x14ac:dyDescent="0.25">
      <c r="E47" s="3"/>
    </row>
    <row r="48" spans="3:5" x14ac:dyDescent="0.25">
      <c r="C48"/>
      <c r="E48" s="3"/>
    </row>
    <row r="49" spans="3:5" x14ac:dyDescent="0.25">
      <c r="C49"/>
      <c r="E49" s="3"/>
    </row>
    <row r="50" spans="3:5" x14ac:dyDescent="0.25">
      <c r="C50"/>
      <c r="E50" s="3"/>
    </row>
    <row r="51" spans="3:5" x14ac:dyDescent="0.25">
      <c r="C51"/>
      <c r="E51" s="3"/>
    </row>
    <row r="52" spans="3:5" x14ac:dyDescent="0.25">
      <c r="C52"/>
      <c r="E52" s="3"/>
    </row>
    <row r="53" spans="3:5" x14ac:dyDescent="0.25">
      <c r="C53"/>
      <c r="E53" s="3"/>
    </row>
    <row r="54" spans="3:5" x14ac:dyDescent="0.25">
      <c r="C54"/>
      <c r="E54" s="3"/>
    </row>
    <row r="61" spans="3:5" x14ac:dyDescent="0.25">
      <c r="C61"/>
      <c r="E61" s="3"/>
    </row>
    <row r="62" spans="3:5" x14ac:dyDescent="0.25">
      <c r="C62"/>
      <c r="E62" s="3"/>
    </row>
    <row r="63" spans="3:5" x14ac:dyDescent="0.25">
      <c r="C63"/>
      <c r="E63" s="3"/>
    </row>
    <row r="64" spans="3:5" x14ac:dyDescent="0.25">
      <c r="C64"/>
      <c r="E64" s="3"/>
    </row>
    <row r="65" spans="3:5" x14ac:dyDescent="0.25">
      <c r="C65"/>
      <c r="E65" s="3"/>
    </row>
    <row r="66" spans="3:5" x14ac:dyDescent="0.25">
      <c r="C66"/>
      <c r="E66" s="3"/>
    </row>
    <row r="67" spans="3:5" x14ac:dyDescent="0.25">
      <c r="C67"/>
      <c r="E67" s="3"/>
    </row>
    <row r="68" spans="3:5" x14ac:dyDescent="0.25">
      <c r="C68"/>
      <c r="E68" s="3"/>
    </row>
    <row r="69" spans="3:5" x14ac:dyDescent="0.25">
      <c r="C69"/>
      <c r="E69" s="3"/>
    </row>
    <row r="70" spans="3:5" x14ac:dyDescent="0.25">
      <c r="C70"/>
      <c r="E70" s="3"/>
    </row>
    <row r="71" spans="3:5" x14ac:dyDescent="0.25">
      <c r="C71"/>
      <c r="E71" s="3"/>
    </row>
    <row r="72" spans="3:5" x14ac:dyDescent="0.25">
      <c r="C72"/>
      <c r="E72" s="3"/>
    </row>
    <row r="73" spans="3:5" x14ac:dyDescent="0.25">
      <c r="C73"/>
      <c r="E73" s="3"/>
    </row>
    <row r="74" spans="3:5" x14ac:dyDescent="0.25">
      <c r="C74"/>
      <c r="E74" s="3"/>
    </row>
    <row r="75" spans="3:5" x14ac:dyDescent="0.25">
      <c r="C75"/>
      <c r="E75" s="3"/>
    </row>
    <row r="76" spans="3:5" x14ac:dyDescent="0.25">
      <c r="C76"/>
      <c r="E76" s="3"/>
    </row>
    <row r="77" spans="3:5" x14ac:dyDescent="0.25">
      <c r="C77"/>
      <c r="E77" s="3"/>
    </row>
    <row r="78" spans="3:5" x14ac:dyDescent="0.25">
      <c r="C78"/>
      <c r="E78" s="3"/>
    </row>
    <row r="79" spans="3:5" x14ac:dyDescent="0.25">
      <c r="C79"/>
      <c r="E79" s="3"/>
    </row>
    <row r="80" spans="3:5" x14ac:dyDescent="0.25">
      <c r="C80"/>
      <c r="E80" s="3"/>
    </row>
    <row r="81" spans="3:5" x14ac:dyDescent="0.25">
      <c r="C81"/>
      <c r="E81" s="3"/>
    </row>
    <row r="82" spans="3:5" x14ac:dyDescent="0.25">
      <c r="C82"/>
      <c r="E82" s="3"/>
    </row>
    <row r="83" spans="3:5" x14ac:dyDescent="0.25">
      <c r="C83"/>
      <c r="E83" s="3"/>
    </row>
    <row r="84" spans="3:5" x14ac:dyDescent="0.25">
      <c r="C84"/>
      <c r="E84" s="3"/>
    </row>
    <row r="85" spans="3:5" x14ac:dyDescent="0.25">
      <c r="C85"/>
      <c r="E85" s="3"/>
    </row>
    <row r="86" spans="3:5" x14ac:dyDescent="0.25">
      <c r="C86"/>
      <c r="E86" s="3"/>
    </row>
    <row r="87" spans="3:5" x14ac:dyDescent="0.25">
      <c r="C87"/>
      <c r="E87" s="3"/>
    </row>
    <row r="88" spans="3:5" x14ac:dyDescent="0.25">
      <c r="C88"/>
      <c r="E88" s="3"/>
    </row>
    <row r="89" spans="3:5" x14ac:dyDescent="0.25">
      <c r="C89"/>
      <c r="E89" s="3"/>
    </row>
    <row r="90" spans="3:5" x14ac:dyDescent="0.25">
      <c r="C90"/>
      <c r="E90" s="3"/>
    </row>
    <row r="91" spans="3:5" x14ac:dyDescent="0.25">
      <c r="C91"/>
      <c r="E91" s="3"/>
    </row>
    <row r="92" spans="3:5" x14ac:dyDescent="0.25">
      <c r="C92"/>
      <c r="E92" s="3"/>
    </row>
    <row r="93" spans="3:5" x14ac:dyDescent="0.25">
      <c r="C93"/>
      <c r="E93" s="3"/>
    </row>
    <row r="94" spans="3:5" x14ac:dyDescent="0.25">
      <c r="C94"/>
      <c r="E94" s="3"/>
    </row>
    <row r="95" spans="3:5" x14ac:dyDescent="0.25">
      <c r="C95"/>
      <c r="E95" s="3"/>
    </row>
    <row r="96" spans="3:5" x14ac:dyDescent="0.25">
      <c r="C96"/>
      <c r="E96" s="3"/>
    </row>
    <row r="97" spans="3:5" x14ac:dyDescent="0.25">
      <c r="C97"/>
      <c r="E97" s="3"/>
    </row>
    <row r="98" spans="3:5" x14ac:dyDescent="0.25">
      <c r="C98"/>
      <c r="E98" s="3"/>
    </row>
    <row r="99" spans="3:5" x14ac:dyDescent="0.25">
      <c r="C99"/>
      <c r="E99" s="3"/>
    </row>
    <row r="100" spans="3:5" x14ac:dyDescent="0.25">
      <c r="C100"/>
      <c r="E100" s="3"/>
    </row>
    <row r="101" spans="3:5" x14ac:dyDescent="0.25">
      <c r="C101"/>
      <c r="E101" s="3"/>
    </row>
    <row r="102" spans="3:5" x14ac:dyDescent="0.25">
      <c r="C102"/>
      <c r="E102" s="3"/>
    </row>
    <row r="103" spans="3:5" x14ac:dyDescent="0.25">
      <c r="C103"/>
      <c r="E103" s="3"/>
    </row>
    <row r="104" spans="3:5" x14ac:dyDescent="0.25">
      <c r="C104"/>
      <c r="E104" s="3"/>
    </row>
    <row r="105" spans="3:5" x14ac:dyDescent="0.25">
      <c r="C105"/>
      <c r="E105" s="3"/>
    </row>
    <row r="106" spans="3:5" x14ac:dyDescent="0.25">
      <c r="C106"/>
      <c r="E106" s="3"/>
    </row>
    <row r="107" spans="3:5" x14ac:dyDescent="0.25">
      <c r="C107"/>
      <c r="E107" s="3"/>
    </row>
    <row r="108" spans="3:5" x14ac:dyDescent="0.25">
      <c r="C108"/>
      <c r="E108" s="3"/>
    </row>
    <row r="109" spans="3:5" x14ac:dyDescent="0.25">
      <c r="C109"/>
      <c r="E109" s="3"/>
    </row>
    <row r="110" spans="3:5" x14ac:dyDescent="0.25">
      <c r="C110"/>
      <c r="E110" s="3"/>
    </row>
    <row r="111" spans="3:5" x14ac:dyDescent="0.25">
      <c r="C111"/>
      <c r="E111" s="3"/>
    </row>
    <row r="113" customFormat="1" x14ac:dyDescent="0.25"/>
    <row r="129" customFormat="1" x14ac:dyDescent="0.25"/>
    <row r="145" customFormat="1" x14ac:dyDescent="0.25"/>
    <row r="161" customFormat="1" x14ac:dyDescent="0.25"/>
    <row r="177" customFormat="1" x14ac:dyDescent="0.25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13"/>
  <sheetViews>
    <sheetView workbookViewId="0">
      <selection sqref="A1:B13"/>
    </sheetView>
  </sheetViews>
  <sheetFormatPr defaultRowHeight="15" x14ac:dyDescent="0.25"/>
  <cols>
    <col min="1" max="1" width="44.7109375" customWidth="1"/>
    <col min="2" max="2" width="17.42578125" customWidth="1"/>
    <col min="3" max="3" width="14.28515625" style="3" bestFit="1" customWidth="1"/>
    <col min="4" max="6" width="14.28515625" style="3" customWidth="1"/>
    <col min="7" max="7" width="21" style="10" customWidth="1"/>
    <col min="8" max="8" width="15.85546875" customWidth="1"/>
    <col min="9" max="9" width="42" customWidth="1"/>
    <col min="11" max="11" width="11.140625" customWidth="1"/>
  </cols>
  <sheetData>
    <row r="1" spans="1:2" x14ac:dyDescent="0.25">
      <c r="A1" t="s">
        <v>989</v>
      </c>
      <c r="B1" t="s">
        <v>532</v>
      </c>
    </row>
    <row r="2" spans="1:2" x14ac:dyDescent="0.25">
      <c r="A2" t="s">
        <v>609</v>
      </c>
      <c r="B2" t="s">
        <v>532</v>
      </c>
    </row>
    <row r="3" spans="1:2" x14ac:dyDescent="0.25">
      <c r="A3" t="s">
        <v>611</v>
      </c>
      <c r="B3" t="s">
        <v>532</v>
      </c>
    </row>
    <row r="4" spans="1:2" x14ac:dyDescent="0.25">
      <c r="A4" t="s">
        <v>610</v>
      </c>
      <c r="B4" t="s">
        <v>532</v>
      </c>
    </row>
    <row r="5" spans="1:2" x14ac:dyDescent="0.25">
      <c r="A5" t="s">
        <v>990</v>
      </c>
      <c r="B5" t="s">
        <v>532</v>
      </c>
    </row>
    <row r="6" spans="1:2" x14ac:dyDescent="0.25">
      <c r="A6" t="s">
        <v>994</v>
      </c>
      <c r="B6" t="s">
        <v>532</v>
      </c>
    </row>
    <row r="7" spans="1:2" x14ac:dyDescent="0.25">
      <c r="A7" t="s">
        <v>992</v>
      </c>
      <c r="B7" t="s">
        <v>532</v>
      </c>
    </row>
    <row r="8" spans="1:2" x14ac:dyDescent="0.25">
      <c r="A8" t="s">
        <v>991</v>
      </c>
      <c r="B8" t="s">
        <v>532</v>
      </c>
    </row>
    <row r="9" spans="1:2" x14ac:dyDescent="0.25">
      <c r="A9" t="s">
        <v>995</v>
      </c>
      <c r="B9" t="s">
        <v>532</v>
      </c>
    </row>
    <row r="10" spans="1:2" x14ac:dyDescent="0.25">
      <c r="A10" t="s">
        <v>996</v>
      </c>
      <c r="B10" t="s">
        <v>532</v>
      </c>
    </row>
    <row r="11" spans="1:2" x14ac:dyDescent="0.25">
      <c r="A11" t="s">
        <v>997</v>
      </c>
      <c r="B11" t="s">
        <v>532</v>
      </c>
    </row>
    <row r="12" spans="1:2" x14ac:dyDescent="0.25">
      <c r="A12" t="s">
        <v>998</v>
      </c>
      <c r="B12" t="s">
        <v>532</v>
      </c>
    </row>
    <row r="13" spans="1:2" x14ac:dyDescent="0.25">
      <c r="A13" t="s">
        <v>993</v>
      </c>
      <c r="B13" t="s">
        <v>532</v>
      </c>
    </row>
  </sheetData>
  <sortState xmlns:xlrd2="http://schemas.microsoft.com/office/spreadsheetml/2017/richdata2" ref="A2:B20">
    <sortCondition ref="A1:A1048576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"/>
  <sheetViews>
    <sheetView workbookViewId="0">
      <selection sqref="A1:XFD1048576"/>
    </sheetView>
  </sheetViews>
  <sheetFormatPr defaultColWidth="9.140625" defaultRowHeight="15" x14ac:dyDescent="0.25"/>
  <cols>
    <col min="1" max="1" width="35.140625" style="16" customWidth="1"/>
    <col min="2" max="2" width="21" style="16" customWidth="1"/>
    <col min="3" max="3" width="6.140625" style="16" customWidth="1"/>
    <col min="4" max="4" width="34.28515625" style="16" customWidth="1"/>
    <col min="5" max="5" width="14.85546875" style="16" customWidth="1"/>
    <col min="6" max="16384" width="9.140625" style="16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B44"/>
  <sheetViews>
    <sheetView workbookViewId="0">
      <selection sqref="A1:A1048576"/>
    </sheetView>
  </sheetViews>
  <sheetFormatPr defaultRowHeight="15" x14ac:dyDescent="0.25"/>
  <cols>
    <col min="1" max="1" width="44.42578125" customWidth="1"/>
  </cols>
  <sheetData>
    <row r="1" spans="1:2" x14ac:dyDescent="0.25">
      <c r="A1" s="12" t="s">
        <v>43</v>
      </c>
      <c r="B1" s="12"/>
    </row>
    <row r="2" spans="1:2" x14ac:dyDescent="0.25">
      <c r="A2" t="s">
        <v>82</v>
      </c>
    </row>
    <row r="3" spans="1:2" x14ac:dyDescent="0.25">
      <c r="A3" t="s">
        <v>44</v>
      </c>
    </row>
    <row r="4" spans="1:2" x14ac:dyDescent="0.25">
      <c r="A4" t="s">
        <v>83</v>
      </c>
    </row>
    <row r="5" spans="1:2" x14ac:dyDescent="0.25">
      <c r="A5" t="s">
        <v>75</v>
      </c>
    </row>
    <row r="6" spans="1:2" x14ac:dyDescent="0.25">
      <c r="A6" t="s">
        <v>84</v>
      </c>
    </row>
    <row r="7" spans="1:2" x14ac:dyDescent="0.25">
      <c r="A7" t="s">
        <v>85</v>
      </c>
    </row>
    <row r="8" spans="1:2" x14ac:dyDescent="0.25">
      <c r="A8" t="s">
        <v>49</v>
      </c>
    </row>
    <row r="9" spans="1:2" x14ac:dyDescent="0.25">
      <c r="A9" t="s">
        <v>81</v>
      </c>
    </row>
    <row r="10" spans="1:2" x14ac:dyDescent="0.25">
      <c r="A10" s="22" t="s">
        <v>86</v>
      </c>
    </row>
    <row r="11" spans="1:2" x14ac:dyDescent="0.25">
      <c r="A11" t="s">
        <v>87</v>
      </c>
    </row>
    <row r="12" spans="1:2" x14ac:dyDescent="0.25">
      <c r="A12" t="s">
        <v>88</v>
      </c>
    </row>
    <row r="13" spans="1:2" x14ac:dyDescent="0.25">
      <c r="A13" t="s">
        <v>89</v>
      </c>
    </row>
    <row r="14" spans="1:2" x14ac:dyDescent="0.25">
      <c r="A14" t="s">
        <v>76</v>
      </c>
    </row>
    <row r="15" spans="1:2" x14ac:dyDescent="0.25">
      <c r="A15" t="s">
        <v>77</v>
      </c>
    </row>
    <row r="16" spans="1:2" x14ac:dyDescent="0.25">
      <c r="A16" t="s">
        <v>90</v>
      </c>
    </row>
    <row r="17" spans="1:1" x14ac:dyDescent="0.25">
      <c r="A17" t="s">
        <v>91</v>
      </c>
    </row>
    <row r="18" spans="1:1" x14ac:dyDescent="0.25">
      <c r="A18" t="s">
        <v>92</v>
      </c>
    </row>
    <row r="19" spans="1:1" x14ac:dyDescent="0.25">
      <c r="A19" s="23" t="s">
        <v>113</v>
      </c>
    </row>
    <row r="20" spans="1:1" x14ac:dyDescent="0.25">
      <c r="A20" t="s">
        <v>93</v>
      </c>
    </row>
    <row r="21" spans="1:1" x14ac:dyDescent="0.25">
      <c r="A21" t="s">
        <v>612</v>
      </c>
    </row>
    <row r="22" spans="1:1" x14ac:dyDescent="0.25">
      <c r="A22" t="s">
        <v>78</v>
      </c>
    </row>
    <row r="23" spans="1:1" x14ac:dyDescent="0.25">
      <c r="A23" t="s">
        <v>94</v>
      </c>
    </row>
    <row r="24" spans="1:1" x14ac:dyDescent="0.25">
      <c r="A24" t="s">
        <v>95</v>
      </c>
    </row>
    <row r="25" spans="1:1" x14ac:dyDescent="0.25">
      <c r="A25" t="s">
        <v>114</v>
      </c>
    </row>
    <row r="26" spans="1:1" x14ac:dyDescent="0.25">
      <c r="A26" t="s">
        <v>79</v>
      </c>
    </row>
    <row r="27" spans="1:1" x14ac:dyDescent="0.25">
      <c r="A27" t="s">
        <v>96</v>
      </c>
    </row>
    <row r="28" spans="1:1" x14ac:dyDescent="0.25">
      <c r="A28" t="s">
        <v>97</v>
      </c>
    </row>
    <row r="29" spans="1:1" x14ac:dyDescent="0.25">
      <c r="A29" t="s">
        <v>98</v>
      </c>
    </row>
    <row r="30" spans="1:1" x14ac:dyDescent="0.25">
      <c r="A30" t="s">
        <v>99</v>
      </c>
    </row>
    <row r="31" spans="1:1" x14ac:dyDescent="0.25">
      <c r="A31" t="s">
        <v>100</v>
      </c>
    </row>
    <row r="32" spans="1:1" x14ac:dyDescent="0.25">
      <c r="A32" t="s">
        <v>101</v>
      </c>
    </row>
    <row r="33" spans="1:1" x14ac:dyDescent="0.25">
      <c r="A33" t="s">
        <v>102</v>
      </c>
    </row>
    <row r="34" spans="1:1" x14ac:dyDescent="0.25">
      <c r="A34" t="s">
        <v>103</v>
      </c>
    </row>
    <row r="35" spans="1:1" x14ac:dyDescent="0.25">
      <c r="A35" t="s">
        <v>104</v>
      </c>
    </row>
    <row r="36" spans="1:1" x14ac:dyDescent="0.25">
      <c r="A36" t="s">
        <v>105</v>
      </c>
    </row>
    <row r="37" spans="1:1" x14ac:dyDescent="0.25">
      <c r="A37" t="s">
        <v>106</v>
      </c>
    </row>
    <row r="38" spans="1:1" x14ac:dyDescent="0.25">
      <c r="A38" t="s">
        <v>80</v>
      </c>
    </row>
    <row r="39" spans="1:1" x14ac:dyDescent="0.25">
      <c r="A39" t="s">
        <v>613</v>
      </c>
    </row>
    <row r="40" spans="1:1" x14ac:dyDescent="0.25">
      <c r="A40" t="s">
        <v>107</v>
      </c>
    </row>
    <row r="41" spans="1:1" x14ac:dyDescent="0.25">
      <c r="A41" t="s">
        <v>108</v>
      </c>
    </row>
    <row r="42" spans="1:1" x14ac:dyDescent="0.25">
      <c r="A42" t="s">
        <v>109</v>
      </c>
    </row>
    <row r="43" spans="1:1" x14ac:dyDescent="0.25">
      <c r="A43" t="s">
        <v>122</v>
      </c>
    </row>
    <row r="44" spans="1:1" x14ac:dyDescent="0.25">
      <c r="A44" t="s">
        <v>110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D114"/>
  <sheetViews>
    <sheetView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18.85546875" style="20" customWidth="1"/>
    <col min="2" max="2" width="43.5703125" style="22" customWidth="1"/>
    <col min="3" max="3" width="46.85546875" style="10" customWidth="1"/>
    <col min="4" max="4" width="17.85546875" style="7" customWidth="1"/>
  </cols>
  <sheetData>
    <row r="1" spans="1:4" x14ac:dyDescent="0.25">
      <c r="A1" s="17"/>
      <c r="B1" s="2"/>
      <c r="C1" s="11"/>
      <c r="D1" s="11"/>
    </row>
    <row r="2" spans="1:4" x14ac:dyDescent="0.25">
      <c r="A2" s="18"/>
      <c r="B2" s="19"/>
      <c r="C2"/>
    </row>
    <row r="3" spans="1:4" x14ac:dyDescent="0.25">
      <c r="A3" s="18"/>
      <c r="B3" s="19"/>
      <c r="C3"/>
    </row>
    <row r="4" spans="1:4" x14ac:dyDescent="0.25">
      <c r="A4" s="18"/>
      <c r="B4" s="19"/>
      <c r="C4"/>
    </row>
    <row r="5" spans="1:4" x14ac:dyDescent="0.25">
      <c r="A5" s="18"/>
      <c r="B5" s="19"/>
      <c r="C5"/>
    </row>
    <row r="6" spans="1:4" x14ac:dyDescent="0.25">
      <c r="A6" s="18"/>
      <c r="B6" s="19"/>
      <c r="C6"/>
    </row>
    <row r="7" spans="1:4" x14ac:dyDescent="0.25">
      <c r="A7" s="18"/>
      <c r="B7" s="19"/>
      <c r="C7"/>
    </row>
    <row r="8" spans="1:4" x14ac:dyDescent="0.25">
      <c r="A8" s="18"/>
      <c r="B8" s="19"/>
      <c r="C8"/>
    </row>
    <row r="9" spans="1:4" x14ac:dyDescent="0.25">
      <c r="A9" s="18"/>
      <c r="B9" s="19"/>
      <c r="C9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CD3</vt:lpstr>
      <vt:lpstr>LINK</vt:lpstr>
      <vt:lpstr>LISTS</vt:lpstr>
      <vt:lpstr>DEBTORLOG</vt:lpstr>
      <vt:lpstr>LOG</vt:lpstr>
      <vt:lpstr>REF</vt:lpstr>
      <vt:lpstr>SUMMARY</vt:lpstr>
      <vt:lpstr>ACC</vt:lpstr>
      <vt:lpstr>CREDITORS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cp:lastPrinted>2016-01-29T05:33:00Z</cp:lastPrinted>
  <dcterms:created xsi:type="dcterms:W3CDTF">2015-05-22T14:56:01Z</dcterms:created>
  <dcterms:modified xsi:type="dcterms:W3CDTF">2024-01-29T13:45:50Z</dcterms:modified>
</cp:coreProperties>
</file>