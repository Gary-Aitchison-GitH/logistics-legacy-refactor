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328" codeName="{316AF4FF-6532-DD95-964C-923D217D005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&amp;E Farming\VBA Functions\VPN set\"/>
    </mc:Choice>
  </mc:AlternateContent>
  <xr:revisionPtr revIDLastSave="0" documentId="13_ncr:1_{63D7D79A-C78A-47D0-86A7-462A94DD9293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COVER" sheetId="1" r:id="rId1"/>
    <sheet name="LINK" sheetId="2" r:id="rId2"/>
    <sheet name="LINK2" sheetId="7" state="hidden" r:id="rId3"/>
    <sheet name="LISTS" sheetId="9" r:id="rId4"/>
    <sheet name="ACC" sheetId="6" r:id="rId5"/>
    <sheet name="ALTER" sheetId="8" state="hidden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" i="2" l="1"/>
  <c r="C13" i="2" l="1"/>
  <c r="B12" i="2" s="1"/>
  <c r="C16" i="2" l="1"/>
  <c r="B8" i="2" l="1"/>
  <c r="C7" i="2" l="1"/>
  <c r="C6" i="2"/>
  <c r="B53" i="7" l="1"/>
  <c r="C51" i="7"/>
  <c r="C50" i="7"/>
  <c r="C48" i="7"/>
  <c r="C47" i="7"/>
  <c r="B41" i="7"/>
  <c r="D36" i="7"/>
  <c r="G31" i="7"/>
  <c r="F31" i="7"/>
  <c r="E31" i="7"/>
  <c r="D31" i="7"/>
  <c r="C31" i="7"/>
  <c r="B30" i="7" s="1"/>
  <c r="B31" i="7"/>
  <c r="B27" i="7"/>
  <c r="D26" i="7"/>
  <c r="B26" i="7"/>
  <c r="D22" i="7"/>
  <c r="C19" i="7"/>
  <c r="C18" i="7"/>
  <c r="D17" i="7"/>
  <c r="D12" i="7"/>
  <c r="C11" i="7"/>
  <c r="B7" i="7"/>
  <c r="D7" i="7" s="1"/>
  <c r="C4" i="7"/>
  <c r="C3" i="7"/>
  <c r="D2" i="7"/>
  <c r="B1" i="7"/>
  <c r="D4" i="7" l="1"/>
  <c r="D50" i="7"/>
  <c r="D47" i="7"/>
  <c r="D95" i="2"/>
  <c r="D90" i="2" l="1"/>
  <c r="C91" i="2" l="1"/>
  <c r="C90" i="2"/>
  <c r="E75" i="2" l="1"/>
  <c r="D75" i="2" l="1"/>
  <c r="C75" i="2" l="1"/>
  <c r="B78" i="2" l="1"/>
  <c r="B77" i="2" s="1"/>
  <c r="B83" i="2" l="1"/>
  <c r="B82" i="2" l="1"/>
  <c r="C69" i="2" l="1"/>
  <c r="C63" i="2"/>
  <c r="B80" i="2" l="1"/>
  <c r="B86" i="2"/>
  <c r="C64" i="2"/>
  <c r="D64" i="2" s="1"/>
  <c r="C67" i="2"/>
  <c r="C78" i="2" s="1"/>
  <c r="C52" i="2" l="1"/>
  <c r="C70" i="2" l="1"/>
  <c r="D70" i="2" s="1"/>
  <c r="B63" i="2" l="1"/>
  <c r="C1" i="2" l="1"/>
  <c r="E49" i="2" l="1"/>
  <c r="E48" i="2" l="1"/>
  <c r="D55" i="2" l="1"/>
  <c r="C48" i="2" l="1"/>
  <c r="C49" i="2"/>
  <c r="C47" i="2"/>
  <c r="B1" i="2" l="1"/>
</calcChain>
</file>

<file path=xl/sharedStrings.xml><?xml version="1.0" encoding="utf-8"?>
<sst xmlns="http://schemas.openxmlformats.org/spreadsheetml/2006/main" count="331" uniqueCount="252">
  <si>
    <t>TODAYS DATE</t>
  </si>
  <si>
    <t>.xlsm</t>
  </si>
  <si>
    <t>QUOTE REF</t>
  </si>
  <si>
    <t>DESCRIPTION</t>
  </si>
  <si>
    <t>UF1 ABORT</t>
  </si>
  <si>
    <t>UF2 ABORT</t>
  </si>
  <si>
    <t>UF3 ABORT</t>
  </si>
  <si>
    <t>START DATE</t>
  </si>
  <si>
    <t>UF6 SELECTION</t>
  </si>
  <si>
    <t>UF6 QUAN</t>
  </si>
  <si>
    <t>UF6 UNIT COST</t>
  </si>
  <si>
    <t>UF6 COMP DATE</t>
  </si>
  <si>
    <t>UF6 AVGE COST</t>
  </si>
  <si>
    <t>UF6 LAST COST</t>
  </si>
  <si>
    <t>UF6 RETAIL PRICE</t>
  </si>
  <si>
    <t>UF6 ABORT</t>
  </si>
  <si>
    <t>UF7 SELECTION</t>
  </si>
  <si>
    <t>UF7 ABORT</t>
  </si>
  <si>
    <t>PROGRESS CONTROL</t>
  </si>
  <si>
    <t>EX WIP FILE</t>
  </si>
  <si>
    <t>PRODUCT</t>
  </si>
  <si>
    <t>QUAN</t>
  </si>
  <si>
    <t>UNIT COST</t>
  </si>
  <si>
    <t>UNIT RETAIL</t>
  </si>
  <si>
    <t>TOTAL MATERIAL COST</t>
  </si>
  <si>
    <t>TRANSFER TO STOCKDB</t>
  </si>
  <si>
    <t>OLD QUAN</t>
  </si>
  <si>
    <t>OLD COST</t>
  </si>
  <si>
    <t>PRODUCTION TRANSFER #</t>
  </si>
  <si>
    <t>AVGE COST</t>
  </si>
  <si>
    <t>UNITS REMAINING</t>
  </si>
  <si>
    <t>UF8 QUAN</t>
  </si>
  <si>
    <t>UF8 ABORT</t>
  </si>
  <si>
    <t>COST</t>
  </si>
  <si>
    <t>NEW QUAN REMAINING</t>
  </si>
  <si>
    <t>CUMMLATIVE COSTS</t>
  </si>
  <si>
    <t>PREVIOUS COSTS</t>
  </si>
  <si>
    <t>QUAN FOR STKDB</t>
  </si>
  <si>
    <t>REMAINING SALE VALUE</t>
  </si>
  <si>
    <t>REMAIN EST COST</t>
  </si>
  <si>
    <t>REMAIN ACTUAL COST</t>
  </si>
  <si>
    <t>WIP LOG</t>
  </si>
  <si>
    <t>VALUE EX LOG</t>
  </si>
  <si>
    <t>PARTIAL TRANS</t>
  </si>
  <si>
    <t>UF9 NUMBER</t>
  </si>
  <si>
    <t>UF9 DESCRIPTION</t>
  </si>
  <si>
    <t>UF9 ABORT</t>
  </si>
  <si>
    <t>ABORT</t>
  </si>
  <si>
    <t>.xlsx</t>
  </si>
  <si>
    <t>BANK CHARGES</t>
  </si>
  <si>
    <t>DATE &amp; TIME</t>
  </si>
  <si>
    <t>UF1 SELECTION</t>
  </si>
  <si>
    <t>UF1 DEBIT</t>
  </si>
  <si>
    <t>UF1 CREDIT</t>
  </si>
  <si>
    <t>ADD NEW NAME</t>
  </si>
  <si>
    <t>FORCED UPPER</t>
  </si>
  <si>
    <t>UF2 DATE</t>
  </si>
  <si>
    <t xml:space="preserve">UF2 PAID TO </t>
  </si>
  <si>
    <t>UF2 DETAILS</t>
  </si>
  <si>
    <t>UF2 VALUE</t>
  </si>
  <si>
    <t>UF2 JOB #</t>
  </si>
  <si>
    <t>UF2 ORDER #</t>
  </si>
  <si>
    <t>UF2 COST CENTER</t>
  </si>
  <si>
    <t>UF3 DATE</t>
  </si>
  <si>
    <t>UF3 RECEIVED FROM</t>
  </si>
  <si>
    <t>UF3 DETAILS</t>
  </si>
  <si>
    <t>UF3 VALUE</t>
  </si>
  <si>
    <t>UF3 REF #</t>
  </si>
  <si>
    <t>UF3 REFUND FROM</t>
  </si>
  <si>
    <t>UF3 COST CENTER REFUND</t>
  </si>
  <si>
    <t>OLD COST EX WIP</t>
  </si>
  <si>
    <t>OLD VALUE EX WIP LOG</t>
  </si>
  <si>
    <t>NEW COST FOR WIP</t>
  </si>
  <si>
    <t>NEW VALUE FOR WIP LOG</t>
  </si>
  <si>
    <t>NEW AFTER REFUND</t>
  </si>
  <si>
    <t>ADDITION TO UF2</t>
  </si>
  <si>
    <t>AUTHORIZED BY</t>
  </si>
  <si>
    <t>AUTHORIZED</t>
  </si>
  <si>
    <t>NAME</t>
  </si>
  <si>
    <t>UF2 INV #</t>
  </si>
  <si>
    <t>OTHER NAME</t>
  </si>
  <si>
    <t>OVERHEAD DISTRIBUTION</t>
  </si>
  <si>
    <t>DYNAMIC JOB NUMBER</t>
  </si>
  <si>
    <t>PROPORTIONED VALUE</t>
  </si>
  <si>
    <t>DYNAMIC TO WIP FILES</t>
  </si>
  <si>
    <t>UF7 WAGES CAT</t>
  </si>
  <si>
    <t>UF7 TRANS DETAILS</t>
  </si>
  <si>
    <t>UF7 ADD</t>
  </si>
  <si>
    <t>UF7 REMOVE</t>
  </si>
  <si>
    <t>NAME TO ADD</t>
  </si>
  <si>
    <t>NAME TO COPY</t>
  </si>
  <si>
    <t>UF8 SELECTED</t>
  </si>
  <si>
    <t>UF1 DATE</t>
  </si>
  <si>
    <t>UF1 FIRST NUMBER</t>
  </si>
  <si>
    <t>UF1 QUAN IN BOOK</t>
  </si>
  <si>
    <t>UF1 LAST NUMBER</t>
  </si>
  <si>
    <t>UF1 CONFIRM</t>
  </si>
  <si>
    <t>UF2 INV DATE</t>
  </si>
  <si>
    <t>UF2 CREDITOR NAME</t>
  </si>
  <si>
    <t>UF2 VAUE</t>
  </si>
  <si>
    <t>ACCOUNT NAMES</t>
  </si>
  <si>
    <t>CURRENCY</t>
  </si>
  <si>
    <t>TRANSACTION</t>
  </si>
  <si>
    <t>CREDITOR</t>
  </si>
  <si>
    <t>VAT #</t>
  </si>
  <si>
    <t>C&amp;E FARMING RAND PETTY CASH</t>
  </si>
  <si>
    <t>RAND</t>
  </si>
  <si>
    <t>ADLAN AUTO SPARES</t>
  </si>
  <si>
    <t>CUSONIA RAND STANDARD BANK</t>
  </si>
  <si>
    <t>CASH WITHDRAWAL</t>
  </si>
  <si>
    <t>AFRITYRE</t>
  </si>
  <si>
    <t>CUSONIA USD FCA BARCLAYS</t>
  </si>
  <si>
    <t>USD</t>
  </si>
  <si>
    <t>COMMISION ON WITHDRAWAL</t>
  </si>
  <si>
    <t>AMANAT</t>
  </si>
  <si>
    <t>GARY'S USD ACCOUNT</t>
  </si>
  <si>
    <t>INTEREST APPLICATION</t>
  </si>
  <si>
    <t>ASSOCIATED AIR BRAKE SERVICES</t>
  </si>
  <si>
    <t>TEST</t>
  </si>
  <si>
    <t>INTERMEDITARY TAX</t>
  </si>
  <si>
    <t>CBS</t>
  </si>
  <si>
    <t>SERVICE FEES</t>
  </si>
  <si>
    <t>DHL</t>
  </si>
  <si>
    <t>TOLLS</t>
  </si>
  <si>
    <t>ECONET</t>
  </si>
  <si>
    <t>F.G ENTERPRISES</t>
  </si>
  <si>
    <t>FAYNAS FASTENERS</t>
  </si>
  <si>
    <t>FM REFRIGERATION SERVIVES</t>
  </si>
  <si>
    <t xml:space="preserve">HALSTEAD </t>
  </si>
  <si>
    <t>INDALE</t>
  </si>
  <si>
    <t>JIMMY'S DIESEL</t>
  </si>
  <si>
    <t>MIDAS</t>
  </si>
  <si>
    <t>MIKE APPLE</t>
  </si>
  <si>
    <t>PELA-PRINT</t>
  </si>
  <si>
    <t>PETER SIGNS</t>
  </si>
  <si>
    <t>QUICKMAN RADIATORS</t>
  </si>
  <si>
    <t>SELECTED SUPPLIES</t>
  </si>
  <si>
    <t>SWAB ENTERPRISES</t>
  </si>
  <si>
    <t>TASA MARKETING</t>
  </si>
  <si>
    <t>TRIP SHEET ALLOCATION</t>
  </si>
  <si>
    <t>TRUCKMAN</t>
  </si>
  <si>
    <t>TURNRIDGE TRADING</t>
  </si>
  <si>
    <t>TYCO INTERNATIONAL</t>
  </si>
  <si>
    <t>WINDSCREEN SERVICES AND REPLACEMENT</t>
  </si>
  <si>
    <t>REF</t>
  </si>
  <si>
    <t xml:space="preserve"> </t>
  </si>
  <si>
    <t>CASH SALES</t>
  </si>
  <si>
    <t>ELECTRICITY &amp; WATER</t>
  </si>
  <si>
    <t>FUEL</t>
  </si>
  <si>
    <t>PRINTING &amp; STATIONERY</t>
  </si>
  <si>
    <t>SECURITY</t>
  </si>
  <si>
    <t>SUNDRY INCOME</t>
  </si>
  <si>
    <t>COST OF SALES</t>
  </si>
  <si>
    <t>ACCOUNTING FEES</t>
  </si>
  <si>
    <t>BREAKDOWNS</t>
  </si>
  <si>
    <t>CLEANING &amp; TEAS</t>
  </si>
  <si>
    <t>CLEARING FEES</t>
  </si>
  <si>
    <t>CONSULTING FEES</t>
  </si>
  <si>
    <t>DEPRECIATION</t>
  </si>
  <si>
    <t>DIRECTORS EXPENSES</t>
  </si>
  <si>
    <t>DIRECTORS LOANS</t>
  </si>
  <si>
    <t>DONATIONS</t>
  </si>
  <si>
    <t>INSURANCE &amp; LICENCES</t>
  </si>
  <si>
    <t>INTEREST PAID</t>
  </si>
  <si>
    <t>LEGAL FEES</t>
  </si>
  <si>
    <t>PERMITS</t>
  </si>
  <si>
    <t>RENT</t>
  </si>
  <si>
    <t>REPAIRS &amp; MAINTAINANCE</t>
  </si>
  <si>
    <t>STAFF COSTS -  NEC</t>
  </si>
  <si>
    <t>STAFF COSTS - ALLOWANCES</t>
  </si>
  <si>
    <t>STAFF COSTS - LOANS</t>
  </si>
  <si>
    <t>STAFF COSTS - MEDICAL EXPENSES</t>
  </si>
  <si>
    <t>STAFF COSTS - NSSA</t>
  </si>
  <si>
    <t>STAFF COSTS - PAYE</t>
  </si>
  <si>
    <t>STAFF COSTS - PROTECTIVE CLOTHING</t>
  </si>
  <si>
    <t>STAFF COSTS - TRAINING</t>
  </si>
  <si>
    <t>STAFF COSTS - WAGES</t>
  </si>
  <si>
    <t>STAFF COSTS - WELFARE FUNDS</t>
  </si>
  <si>
    <t>SUBSCRIPTIONS</t>
  </si>
  <si>
    <t>TELEPHONE &amp; INTERNET</t>
  </si>
  <si>
    <t>TRAVEL &amp; ACCOMODATION</t>
  </si>
  <si>
    <t>WORKSHOP MAINTANCE</t>
  </si>
  <si>
    <t>ACE HARDWARE</t>
  </si>
  <si>
    <t>AUTOMAN</t>
  </si>
  <si>
    <t>DOUBLE T</t>
  </si>
  <si>
    <t>GARAGE &amp; FORECOURT</t>
  </si>
  <si>
    <t>GLYN'S BOLTS</t>
  </si>
  <si>
    <t>HILMAX ENGINEERING</t>
  </si>
  <si>
    <t>HOLLICK</t>
  </si>
  <si>
    <t xml:space="preserve">INK LOGISTICS </t>
  </si>
  <si>
    <t>MIKE'S RADIATORS</t>
  </si>
  <si>
    <t>PROFESSIONAL OIL SEALS</t>
  </si>
  <si>
    <t>RANK WHOLESALERS</t>
  </si>
  <si>
    <t>SCOTIA MOTOR ENGINEERING</t>
  </si>
  <si>
    <t>SENDEM TRANSPORT LOGISTICS</t>
  </si>
  <si>
    <t>SMART LOGISTICS</t>
  </si>
  <si>
    <t>TRANSPORT OPERATORS' ASSOCIATION</t>
  </si>
  <si>
    <t>TRUCKSERVE</t>
  </si>
  <si>
    <t>ULMERTZ</t>
  </si>
  <si>
    <t>ZOL</t>
  </si>
  <si>
    <t>ZIMAPAN INVESTMENTS</t>
  </si>
  <si>
    <t>CAPSTONE 665 (PTY) LTD</t>
  </si>
  <si>
    <t>AGRILINK ACCOUNTING SERVICES</t>
  </si>
  <si>
    <t>FINACC</t>
  </si>
  <si>
    <t>HENDERSON &amp; RUGG</t>
  </si>
  <si>
    <t>MINISTRY OF TRANSPORT</t>
  </si>
  <si>
    <t>MUNELLA WHOLESALERS</t>
  </si>
  <si>
    <t>NEW LIMPOPO BRIDGE</t>
  </si>
  <si>
    <t>SAMUEL</t>
  </si>
  <si>
    <t>VID</t>
  </si>
  <si>
    <t>ZIMNAT INSURANCE</t>
  </si>
  <si>
    <t>MISCELLANEOUS</t>
  </si>
  <si>
    <t>SALES REVENUE</t>
  </si>
  <si>
    <t>PETTY CASH</t>
  </si>
  <si>
    <t>ADAM'S WIFE</t>
  </si>
  <si>
    <t>ADRY</t>
  </si>
  <si>
    <t>AREON LOGISTICS</t>
  </si>
  <si>
    <t>ASTRA PAINTS</t>
  </si>
  <si>
    <t>CAROL</t>
  </si>
  <si>
    <t>CASUALS</t>
  </si>
  <si>
    <t>CIMAS</t>
  </si>
  <si>
    <t>CLEVER</t>
  </si>
  <si>
    <t>DAZIMATA</t>
  </si>
  <si>
    <t>DENIGHT CLEARING</t>
  </si>
  <si>
    <t>DME</t>
  </si>
  <si>
    <t>EAGLE LOGISTICS</t>
  </si>
  <si>
    <t>EASIPAK</t>
  </si>
  <si>
    <t>EXECUTIVE COURIER</t>
  </si>
  <si>
    <t>FELIX</t>
  </si>
  <si>
    <t>GEORGE</t>
  </si>
  <si>
    <t>GUZHA</t>
  </si>
  <si>
    <t>HUMPHREY</t>
  </si>
  <si>
    <t>KADUNI</t>
  </si>
  <si>
    <t>LENON</t>
  </si>
  <si>
    <t>LLOYD</t>
  </si>
  <si>
    <t>REGIS</t>
  </si>
  <si>
    <t>TRUCK BREAKERS</t>
  </si>
  <si>
    <t>MINISTRY OF MINES</t>
  </si>
  <si>
    <t>PRIME SERVICES</t>
  </si>
  <si>
    <t>RE TRADING</t>
  </si>
  <si>
    <t>MAXWELL</t>
  </si>
  <si>
    <t>MR BUSH ZIMBABWE</t>
  </si>
  <si>
    <t>ZINARA</t>
  </si>
  <si>
    <t>PATRICK</t>
  </si>
  <si>
    <t xml:space="preserve">RODRIG </t>
  </si>
  <si>
    <t>PETER</t>
  </si>
  <si>
    <t>WORKSHOPS</t>
  </si>
  <si>
    <t>SAMU</t>
  </si>
  <si>
    <t>ZIMRA</t>
  </si>
  <si>
    <t>TATENDA</t>
  </si>
  <si>
    <t>YORAMU</t>
  </si>
  <si>
    <t>WELLINGTON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</si>
</sst>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* #,##0.00_);_(* \(#,##0.00\);_(* &quot;-&quot;??_);_(@_)"/>
    <numFmt numFmtId="165" formatCode="&quot;$&quot;#,##0.00_);[Red]\(&quot;$&quot;#,##0.00\)"/>
    <numFmt numFmtId="166" formatCode="_(&quot;$&quot;* #,##0.00_);_(&quot;$&quot;* \(#,##0.00\);_(&quot;$&quot;* &quot;-&quot;??_);_(@_)"/>
    <numFmt numFmtId="167" formatCode="[$-409]d\-mmm\-yy;@"/>
    <numFmt numFmtId="168" formatCode="[$-3009]dd\-mmm\-yy;@"/>
    <numFmt numFmtId="169" formatCode="d/m/yyyy\ h:mm"/>
    <numFmt numFmtId="170" formatCode="0.0000"/>
    <numFmt numFmtId="171" formatCode="[$-409]dd\-mmm\-yy;@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5">
    <xf numFmtId="0" fontId="0" fillId="0" borderId="0"/>
    <xf numFmtId="166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3" fillId="0" borderId="0"/>
  </cellStyleXfs>
  <cellXfs count="27">
    <xf numFmtId="0" fontId="0" fillId="0" borderId="0" xfId="0"/>
    <xf numFmtId="167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165" fontId="0" fillId="0" borderId="0" xfId="0" applyNumberFormat="1"/>
    <xf numFmtId="0" fontId="0" fillId="0" borderId="0" xfId="0" applyFont="1" applyAlignment="1">
      <alignment horizontal="left"/>
    </xf>
    <xf numFmtId="168" fontId="0" fillId="0" borderId="0" xfId="0" applyNumberFormat="1" applyFont="1" applyAlignment="1">
      <alignment horizontal="left"/>
    </xf>
    <xf numFmtId="165" fontId="2" fillId="0" borderId="0" xfId="1" applyNumberFormat="1" applyFont="1" applyAlignment="1">
      <alignment horizontal="left"/>
    </xf>
    <xf numFmtId="9" fontId="2" fillId="0" borderId="0" xfId="2" applyFont="1" applyAlignment="1">
      <alignment horizontal="left"/>
    </xf>
    <xf numFmtId="0" fontId="0" fillId="0" borderId="0" xfId="0" applyFont="1"/>
    <xf numFmtId="9" fontId="0" fillId="0" borderId="0" xfId="2" applyFont="1" applyAlignment="1">
      <alignment horizontal="center"/>
    </xf>
    <xf numFmtId="0" fontId="1" fillId="0" borderId="0" xfId="0" applyFont="1" applyAlignment="1">
      <alignment horizontal="center" wrapText="1"/>
    </xf>
    <xf numFmtId="22" fontId="0" fillId="0" borderId="0" xfId="0" applyNumberFormat="1"/>
    <xf numFmtId="39" fontId="0" fillId="0" borderId="0" xfId="3" applyNumberFormat="1" applyFont="1" applyAlignment="1">
      <alignment horizontal="center"/>
    </xf>
    <xf numFmtId="165" fontId="0" fillId="0" borderId="0" xfId="0" applyNumberFormat="1" applyAlignment="1">
      <alignment horizontal="right"/>
    </xf>
    <xf numFmtId="39" fontId="0" fillId="0" borderId="0" xfId="0" applyNumberFormat="1" applyAlignment="1">
      <alignment horizontal="center"/>
    </xf>
    <xf numFmtId="169" fontId="0" fillId="0" borderId="0" xfId="0" applyNumberFormat="1"/>
    <xf numFmtId="167" fontId="0" fillId="0" borderId="0" xfId="0" applyNumberFormat="1"/>
    <xf numFmtId="165" fontId="0" fillId="0" borderId="0" xfId="1" applyNumberFormat="1" applyFont="1"/>
    <xf numFmtId="0" fontId="0" fillId="0" borderId="0" xfId="0" applyFont="1" applyAlignment="1">
      <alignment horizontal="center"/>
    </xf>
    <xf numFmtId="170" fontId="1" fillId="0" borderId="0" xfId="0" applyNumberFormat="1" applyFont="1" applyAlignment="1">
      <alignment horizontal="center"/>
    </xf>
    <xf numFmtId="170" fontId="0" fillId="0" borderId="0" xfId="0" applyNumberFormat="1" applyAlignment="1">
      <alignment horizontal="center"/>
    </xf>
    <xf numFmtId="167" fontId="0" fillId="0" borderId="0" xfId="0" applyNumberFormat="1" applyAlignment="1">
      <alignment horizontal="left"/>
    </xf>
    <xf numFmtId="171" fontId="3" fillId="0" borderId="0" xfId="4" applyNumberFormat="1"/>
    <xf numFmtId="0" fontId="0" fillId="0" borderId="0" xfId="0" applyAlignment="1">
      <alignment vertical="center"/>
    </xf>
    <xf numFmtId="0" fontId="0" fillId="0" borderId="0" xfId="0" applyAlignment="1">
      <alignment horizontal="left"/>
    </xf>
    <xf numFmtId="0" fontId="0" fillId="0" borderId="0" xfId="0" applyAlignment="1">
      <alignment horizontal="left"/>
    </xf>
  </cellXfs>
  <cellStyles count="5">
    <cellStyle name="Comma" xfId="3" builtinId="3"/>
    <cellStyle name="Currency" xfId="1" builtinId="4"/>
    <cellStyle name="Normal" xfId="0" builtinId="0"/>
    <cellStyle name="Normal 2" xfId="4" xr:uid="{00000000-0005-0000-0000-000003000000}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showGridLines="0" tabSelected="1" workbookViewId="0">
      <selection activeCell="A19" sqref="A19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95"/>
  <sheetViews>
    <sheetView workbookViewId="0">
      <selection activeCell="B90" sqref="B90:B94"/>
    </sheetView>
  </sheetViews>
  <sheetFormatPr defaultRowHeight="15" x14ac:dyDescent="0.25"/>
  <cols>
    <col min="1" max="1" width="23.42578125" customWidth="1"/>
    <col min="2" max="2" width="37.7109375" customWidth="1"/>
    <col min="3" max="3" width="16.28515625" customWidth="1"/>
    <col min="4" max="4" width="11.85546875" customWidth="1"/>
    <col min="5" max="5" width="14.28515625" customWidth="1"/>
    <col min="6" max="6" width="20.7109375" customWidth="1"/>
    <col min="7" max="7" width="25.42578125" customWidth="1"/>
    <col min="8" max="8" width="26.42578125" customWidth="1"/>
  </cols>
  <sheetData>
    <row r="1" spans="1:9" x14ac:dyDescent="0.25">
      <c r="A1" t="s">
        <v>0</v>
      </c>
      <c r="B1" s="1">
        <f ca="1">TODAY()</f>
        <v>44152</v>
      </c>
      <c r="C1" s="12">
        <f ca="1">NOW()</f>
        <v>44152.735003935188</v>
      </c>
      <c r="G1" s="3"/>
      <c r="H1" s="3"/>
    </row>
    <row r="2" spans="1:9" x14ac:dyDescent="0.25">
      <c r="B2" s="2"/>
    </row>
    <row r="5" spans="1:9" x14ac:dyDescent="0.25">
      <c r="A5" t="s">
        <v>92</v>
      </c>
      <c r="B5" s="1">
        <v>42339</v>
      </c>
    </row>
    <row r="6" spans="1:9" x14ac:dyDescent="0.25">
      <c r="A6" t="s">
        <v>93</v>
      </c>
      <c r="B6">
        <v>1120631</v>
      </c>
      <c r="C6" t="b">
        <f>ISNUMBER(B6)</f>
        <v>1</v>
      </c>
      <c r="F6" s="1"/>
      <c r="G6" s="1"/>
      <c r="I6" s="4"/>
    </row>
    <row r="7" spans="1:9" x14ac:dyDescent="0.25">
      <c r="A7" t="s">
        <v>94</v>
      </c>
      <c r="B7">
        <v>20</v>
      </c>
      <c r="C7" t="b">
        <f>ISNUMBER(B7)</f>
        <v>1</v>
      </c>
    </row>
    <row r="8" spans="1:9" x14ac:dyDescent="0.25">
      <c r="A8" t="s">
        <v>95</v>
      </c>
      <c r="B8">
        <f>IF(B6="","",(B6+B7)-1)</f>
        <v>1120650</v>
      </c>
    </row>
    <row r="9" spans="1:9" x14ac:dyDescent="0.25">
      <c r="A9" t="s">
        <v>96</v>
      </c>
      <c r="B9" t="b">
        <v>1</v>
      </c>
    </row>
    <row r="10" spans="1:9" x14ac:dyDescent="0.25">
      <c r="A10" t="s">
        <v>4</v>
      </c>
    </row>
    <row r="11" spans="1:9" x14ac:dyDescent="0.25">
      <c r="D11" t="str">
        <f>IF(B17="","","INV # ")</f>
        <v/>
      </c>
    </row>
    <row r="12" spans="1:9" x14ac:dyDescent="0.25">
      <c r="A12" t="s">
        <v>144</v>
      </c>
      <c r="B12" s="4" t="str">
        <f>C13&amp;C12&amp;B14&amp;C12&amp;D12&amp;B16&amp;C12&amp;D11&amp;B17</f>
        <v xml:space="preserve">0-1-00  USD </v>
      </c>
      <c r="C12" t="s">
        <v>145</v>
      </c>
      <c r="D12" s="4" t="s">
        <v>112</v>
      </c>
    </row>
    <row r="13" spans="1:9" x14ac:dyDescent="0.25">
      <c r="A13" t="s">
        <v>97</v>
      </c>
      <c r="B13" s="1"/>
      <c r="C13" s="23" t="str">
        <f>TEXT(B13,"d-m-yy")</f>
        <v>0-1-00</v>
      </c>
      <c r="D13" s="4"/>
    </row>
    <row r="14" spans="1:9" x14ac:dyDescent="0.25">
      <c r="A14" t="s">
        <v>98</v>
      </c>
      <c r="B14" s="22"/>
    </row>
    <row r="15" spans="1:9" x14ac:dyDescent="0.25">
      <c r="A15" t="s">
        <v>58</v>
      </c>
    </row>
    <row r="16" spans="1:9" x14ac:dyDescent="0.25">
      <c r="A16" t="s">
        <v>99</v>
      </c>
      <c r="B16" s="4"/>
      <c r="C16" t="b">
        <f>ISNUMBER(B16)</f>
        <v>0</v>
      </c>
    </row>
    <row r="17" spans="1:2" x14ac:dyDescent="0.25">
      <c r="A17" t="s">
        <v>79</v>
      </c>
      <c r="B17" s="2"/>
    </row>
    <row r="18" spans="1:2" x14ac:dyDescent="0.25">
      <c r="A18" t="s">
        <v>62</v>
      </c>
    </row>
    <row r="19" spans="1:2" x14ac:dyDescent="0.25">
      <c r="A19" t="s">
        <v>5</v>
      </c>
    </row>
    <row r="26" spans="1:2" x14ac:dyDescent="0.25">
      <c r="A26" s="5"/>
      <c r="B26" s="2"/>
    </row>
    <row r="27" spans="1:2" x14ac:dyDescent="0.25">
      <c r="A27" s="5"/>
    </row>
    <row r="28" spans="1:2" x14ac:dyDescent="0.25">
      <c r="A28" s="5"/>
    </row>
    <row r="29" spans="1:2" x14ac:dyDescent="0.25">
      <c r="A29" s="5"/>
    </row>
    <row r="30" spans="1:2" x14ac:dyDescent="0.25">
      <c r="A30" s="5"/>
    </row>
    <row r="31" spans="1:2" x14ac:dyDescent="0.25">
      <c r="A31" s="5"/>
    </row>
    <row r="32" spans="1:2" x14ac:dyDescent="0.25">
      <c r="A32" s="6"/>
      <c r="B32" s="1"/>
    </row>
    <row r="33" spans="1:5" x14ac:dyDescent="0.25">
      <c r="A33" s="6"/>
      <c r="B33" s="1"/>
    </row>
    <row r="34" spans="1:5" x14ac:dyDescent="0.25">
      <c r="A34" s="7"/>
      <c r="B34" s="4"/>
    </row>
    <row r="35" spans="1:5" x14ac:dyDescent="0.25">
      <c r="A35" s="7"/>
      <c r="B35" s="4"/>
    </row>
    <row r="36" spans="1:5" x14ac:dyDescent="0.25">
      <c r="A36" s="7"/>
      <c r="B36" s="4"/>
    </row>
    <row r="37" spans="1:5" x14ac:dyDescent="0.25">
      <c r="A37" s="8"/>
      <c r="B37" s="10"/>
    </row>
    <row r="46" spans="1:5" x14ac:dyDescent="0.25">
      <c r="A46" t="s">
        <v>8</v>
      </c>
      <c r="B46" t="s">
        <v>47</v>
      </c>
    </row>
    <row r="47" spans="1:5" x14ac:dyDescent="0.25">
      <c r="A47" t="s">
        <v>9</v>
      </c>
      <c r="B47" t="b">
        <v>0</v>
      </c>
      <c r="C47" t="b">
        <f>ISNUMBER(B47)</f>
        <v>0</v>
      </c>
    </row>
    <row r="48" spans="1:5" x14ac:dyDescent="0.25">
      <c r="A48" t="s">
        <v>10</v>
      </c>
      <c r="B48" s="4" t="b">
        <v>1</v>
      </c>
      <c r="C48" t="b">
        <f t="shared" ref="C48:C49" si="0">ISNUMBER(B48)</f>
        <v>0</v>
      </c>
      <c r="E48" s="4">
        <f>C52*B47</f>
        <v>0</v>
      </c>
    </row>
    <row r="49" spans="1:5" x14ac:dyDescent="0.25">
      <c r="A49" t="s">
        <v>14</v>
      </c>
      <c r="B49" s="4"/>
      <c r="C49" t="b">
        <f t="shared" si="0"/>
        <v>0</v>
      </c>
      <c r="E49" s="4">
        <f>B49*B47</f>
        <v>0</v>
      </c>
    </row>
    <row r="50" spans="1:5" x14ac:dyDescent="0.25">
      <c r="A50" t="s">
        <v>11</v>
      </c>
      <c r="B50" s="1" t="b">
        <v>0</v>
      </c>
    </row>
    <row r="51" spans="1:5" x14ac:dyDescent="0.25">
      <c r="A51" t="s">
        <v>12</v>
      </c>
      <c r="B51" s="4" t="b">
        <v>1</v>
      </c>
    </row>
    <row r="52" spans="1:5" x14ac:dyDescent="0.25">
      <c r="A52" t="s">
        <v>13</v>
      </c>
      <c r="B52" s="4"/>
      <c r="C52" s="4" t="b">
        <f>IF(B48&lt;&gt;"",B48,B51)</f>
        <v>1</v>
      </c>
    </row>
    <row r="53" spans="1:5" x14ac:dyDescent="0.25">
      <c r="A53" t="s">
        <v>15</v>
      </c>
    </row>
    <row r="55" spans="1:5" x14ac:dyDescent="0.25">
      <c r="A55" t="s">
        <v>16</v>
      </c>
      <c r="C55" t="s">
        <v>1</v>
      </c>
      <c r="D55" t="str">
        <f>B55&amp;C55</f>
        <v>.xlsm</v>
      </c>
    </row>
    <row r="56" spans="1:5" x14ac:dyDescent="0.25">
      <c r="A56" t="s">
        <v>17</v>
      </c>
    </row>
    <row r="57" spans="1:5" x14ac:dyDescent="0.25">
      <c r="A57" t="s">
        <v>18</v>
      </c>
      <c r="B57" s="9"/>
    </row>
    <row r="59" spans="1:5" x14ac:dyDescent="0.25">
      <c r="A59" s="3" t="s">
        <v>19</v>
      </c>
    </row>
    <row r="60" spans="1:5" x14ac:dyDescent="0.25">
      <c r="A60" t="s">
        <v>20</v>
      </c>
    </row>
    <row r="61" spans="1:5" x14ac:dyDescent="0.25">
      <c r="A61" t="s">
        <v>21</v>
      </c>
      <c r="B61" s="2"/>
    </row>
    <row r="62" spans="1:5" x14ac:dyDescent="0.25">
      <c r="A62" t="s">
        <v>22</v>
      </c>
      <c r="B62" s="4"/>
    </row>
    <row r="63" spans="1:5" x14ac:dyDescent="0.25">
      <c r="A63" t="s">
        <v>24</v>
      </c>
      <c r="B63" s="4">
        <f>B61*B62</f>
        <v>0</v>
      </c>
      <c r="C63" s="4">
        <f>B62*B77</f>
        <v>0</v>
      </c>
    </row>
    <row r="64" spans="1:5" x14ac:dyDescent="0.25">
      <c r="A64" t="s">
        <v>23</v>
      </c>
      <c r="B64" s="4"/>
      <c r="C64" s="4">
        <f>SUM(B64-B62)</f>
        <v>0</v>
      </c>
      <c r="D64" s="10" t="e">
        <f>C64/B64</f>
        <v>#DIV/0!</v>
      </c>
    </row>
    <row r="65" spans="1:5" x14ac:dyDescent="0.25">
      <c r="A65" t="s">
        <v>7</v>
      </c>
      <c r="B65" s="1"/>
    </row>
    <row r="66" spans="1:5" x14ac:dyDescent="0.25">
      <c r="A66" t="s">
        <v>29</v>
      </c>
      <c r="B66" s="4"/>
    </row>
    <row r="67" spans="1:5" x14ac:dyDescent="0.25">
      <c r="A67" t="s">
        <v>30</v>
      </c>
      <c r="B67" s="2"/>
      <c r="C67" s="2">
        <f>B61-B67</f>
        <v>0</v>
      </c>
    </row>
    <row r="68" spans="1:5" x14ac:dyDescent="0.25">
      <c r="B68" t="s">
        <v>25</v>
      </c>
    </row>
    <row r="69" spans="1:5" x14ac:dyDescent="0.25">
      <c r="A69" t="s">
        <v>26</v>
      </c>
      <c r="B69" s="13"/>
      <c r="C69" s="15">
        <f>SUM(B77+B69)</f>
        <v>0</v>
      </c>
    </row>
    <row r="70" spans="1:5" x14ac:dyDescent="0.25">
      <c r="A70" t="s">
        <v>27</v>
      </c>
      <c r="B70" s="14"/>
      <c r="C70" s="4">
        <f>SUM(B69*B70)</f>
        <v>0</v>
      </c>
      <c r="D70" s="4" t="e">
        <f>SUM((C63+C70)/C69)</f>
        <v>#DIV/0!</v>
      </c>
    </row>
    <row r="73" spans="1:5" x14ac:dyDescent="0.25">
      <c r="A73" t="s">
        <v>28</v>
      </c>
    </row>
    <row r="74" spans="1:5" x14ac:dyDescent="0.25">
      <c r="C74" t="s">
        <v>33</v>
      </c>
    </row>
    <row r="75" spans="1:5" x14ac:dyDescent="0.25">
      <c r="A75" t="s">
        <v>31</v>
      </c>
      <c r="B75" s="2"/>
      <c r="C75" s="4">
        <f>IF(B75="",B62*B67,B75*B62)</f>
        <v>0</v>
      </c>
      <c r="D75" t="b">
        <f>ISNUMBER(B75)</f>
        <v>0</v>
      </c>
      <c r="E75" t="b">
        <f>INT(B75)=B75</f>
        <v>1</v>
      </c>
    </row>
    <row r="76" spans="1:5" x14ac:dyDescent="0.25">
      <c r="A76" t="s">
        <v>32</v>
      </c>
      <c r="B76" t="s">
        <v>47</v>
      </c>
    </row>
    <row r="77" spans="1:5" x14ac:dyDescent="0.25">
      <c r="A77" t="s">
        <v>37</v>
      </c>
      <c r="B77" s="2">
        <f>IF(B75="",B78,B75)</f>
        <v>0</v>
      </c>
      <c r="C77" t="s">
        <v>43</v>
      </c>
    </row>
    <row r="78" spans="1:5" x14ac:dyDescent="0.25">
      <c r="A78" t="s">
        <v>34</v>
      </c>
      <c r="B78" s="2">
        <f>(B67-B75)</f>
        <v>0</v>
      </c>
      <c r="C78" s="2">
        <f>C67+B75</f>
        <v>0</v>
      </c>
    </row>
    <row r="79" spans="1:5" x14ac:dyDescent="0.25">
      <c r="A79" t="s">
        <v>36</v>
      </c>
      <c r="B79" s="14">
        <v>0</v>
      </c>
    </row>
    <row r="80" spans="1:5" x14ac:dyDescent="0.25">
      <c r="A80" t="s">
        <v>35</v>
      </c>
      <c r="B80" s="14">
        <f>B79+C75</f>
        <v>0</v>
      </c>
    </row>
    <row r="81" spans="1:4" x14ac:dyDescent="0.25">
      <c r="B81" s="3" t="s">
        <v>41</v>
      </c>
    </row>
    <row r="82" spans="1:4" x14ac:dyDescent="0.25">
      <c r="A82" t="s">
        <v>38</v>
      </c>
      <c r="B82" s="4">
        <f>B67*B64</f>
        <v>0</v>
      </c>
    </row>
    <row r="83" spans="1:4" x14ac:dyDescent="0.25">
      <c r="A83" t="s">
        <v>39</v>
      </c>
      <c r="B83" s="4">
        <f>B67*B62</f>
        <v>0</v>
      </c>
    </row>
    <row r="85" spans="1:4" x14ac:dyDescent="0.25">
      <c r="A85" t="s">
        <v>42</v>
      </c>
      <c r="B85" s="4">
        <v>1000</v>
      </c>
    </row>
    <row r="86" spans="1:4" x14ac:dyDescent="0.25">
      <c r="A86" t="s">
        <v>40</v>
      </c>
      <c r="B86" s="4">
        <f>B85-C75</f>
        <v>1000</v>
      </c>
    </row>
    <row r="90" spans="1:4" x14ac:dyDescent="0.25">
      <c r="A90" t="s">
        <v>44</v>
      </c>
      <c r="C90" t="b">
        <f>ISNUMBER(B90)</f>
        <v>0</v>
      </c>
      <c r="D90" t="b">
        <f>IF(B90&gt;500,FALSE,TRUE)</f>
        <v>1</v>
      </c>
    </row>
    <row r="91" spans="1:4" x14ac:dyDescent="0.25">
      <c r="A91" t="s">
        <v>45</v>
      </c>
      <c r="C91" t="str">
        <f>UPPER(B91)</f>
        <v/>
      </c>
    </row>
    <row r="93" spans="1:4" x14ac:dyDescent="0.25">
      <c r="A93" t="s">
        <v>46</v>
      </c>
    </row>
    <row r="95" spans="1:4" x14ac:dyDescent="0.25">
      <c r="A95" t="s">
        <v>2</v>
      </c>
      <c r="C95" t="s">
        <v>48</v>
      </c>
      <c r="D95" t="str">
        <f>B95&amp;C95</f>
        <v>.xlsx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G55"/>
  <sheetViews>
    <sheetView workbookViewId="0">
      <selection activeCell="B54" sqref="B54:B55"/>
    </sheetView>
  </sheetViews>
  <sheetFormatPr defaultRowHeight="15" x14ac:dyDescent="0.25"/>
  <cols>
    <col min="1" max="1" width="24.5703125" customWidth="1"/>
    <col min="2" max="2" width="21.85546875" customWidth="1"/>
    <col min="3" max="3" width="21.28515625" customWidth="1"/>
    <col min="4" max="4" width="12" customWidth="1"/>
    <col min="5" max="5" width="11.140625" customWidth="1"/>
  </cols>
  <sheetData>
    <row r="1" spans="1:4" x14ac:dyDescent="0.25">
      <c r="A1" t="s">
        <v>50</v>
      </c>
      <c r="B1" s="16">
        <f ca="1">NOW()</f>
        <v>44152.735003935188</v>
      </c>
    </row>
    <row r="2" spans="1:4" x14ac:dyDescent="0.25">
      <c r="A2" t="s">
        <v>51</v>
      </c>
      <c r="C2" t="s">
        <v>1</v>
      </c>
      <c r="D2" t="str">
        <f>B2&amp;C2</f>
        <v>.xlsm</v>
      </c>
    </row>
    <row r="3" spans="1:4" x14ac:dyDescent="0.25">
      <c r="A3" t="s">
        <v>52</v>
      </c>
      <c r="B3" t="b">
        <v>1</v>
      </c>
      <c r="C3" s="2">
        <f>IF(B3=TRUE,1,0)</f>
        <v>1</v>
      </c>
    </row>
    <row r="4" spans="1:4" x14ac:dyDescent="0.25">
      <c r="A4" t="s">
        <v>53</v>
      </c>
      <c r="B4" t="b">
        <v>0</v>
      </c>
      <c r="C4" s="2">
        <f>IF(B4=TRUE,1,0)</f>
        <v>0</v>
      </c>
      <c r="D4" s="2">
        <f>SUM(C3:C4)</f>
        <v>1</v>
      </c>
    </row>
    <row r="5" spans="1:4" x14ac:dyDescent="0.25">
      <c r="A5" t="s">
        <v>4</v>
      </c>
    </row>
    <row r="6" spans="1:4" x14ac:dyDescent="0.25">
      <c r="A6" t="s">
        <v>54</v>
      </c>
    </row>
    <row r="7" spans="1:4" x14ac:dyDescent="0.25">
      <c r="A7" t="s">
        <v>55</v>
      </c>
      <c r="B7" t="str">
        <f>UPPER(B6)</f>
        <v/>
      </c>
      <c r="C7" t="s">
        <v>1</v>
      </c>
      <c r="D7" t="str">
        <f>B7&amp;C7</f>
        <v>.xlsm</v>
      </c>
    </row>
    <row r="8" spans="1:4" x14ac:dyDescent="0.25">
      <c r="A8" t="s">
        <v>56</v>
      </c>
      <c r="B8" s="17"/>
    </row>
    <row r="9" spans="1:4" x14ac:dyDescent="0.25">
      <c r="A9" t="s">
        <v>57</v>
      </c>
    </row>
    <row r="10" spans="1:4" x14ac:dyDescent="0.25">
      <c r="A10" t="s">
        <v>58</v>
      </c>
    </row>
    <row r="11" spans="1:4" x14ac:dyDescent="0.25">
      <c r="A11" t="s">
        <v>59</v>
      </c>
      <c r="B11" s="4"/>
      <c r="C11" t="b">
        <f>ISNUMBER(B11)</f>
        <v>0</v>
      </c>
    </row>
    <row r="12" spans="1:4" x14ac:dyDescent="0.25">
      <c r="A12" t="s">
        <v>60</v>
      </c>
      <c r="C12" t="s">
        <v>1</v>
      </c>
      <c r="D12" t="str">
        <f>B12&amp;C12</f>
        <v>.xlsm</v>
      </c>
    </row>
    <row r="13" spans="1:4" x14ac:dyDescent="0.25">
      <c r="A13" t="s">
        <v>5</v>
      </c>
    </row>
    <row r="14" spans="1:4" x14ac:dyDescent="0.25">
      <c r="A14" t="s">
        <v>61</v>
      </c>
      <c r="B14" s="2"/>
    </row>
    <row r="15" spans="1:4" x14ac:dyDescent="0.25">
      <c r="A15" t="s">
        <v>62</v>
      </c>
    </row>
    <row r="16" spans="1:4" x14ac:dyDescent="0.25">
      <c r="A16" t="s">
        <v>63</v>
      </c>
      <c r="B16" s="17"/>
    </row>
    <row r="17" spans="1:7" x14ac:dyDescent="0.25">
      <c r="A17" t="s">
        <v>64</v>
      </c>
      <c r="C17" t="s">
        <v>1</v>
      </c>
      <c r="D17" t="str">
        <f>B17&amp;C17</f>
        <v>.xlsm</v>
      </c>
    </row>
    <row r="18" spans="1:7" x14ac:dyDescent="0.25">
      <c r="A18" t="s">
        <v>65</v>
      </c>
      <c r="C18" s="26">
        <f>B18</f>
        <v>0</v>
      </c>
      <c r="D18" s="26"/>
    </row>
    <row r="19" spans="1:7" x14ac:dyDescent="0.25">
      <c r="A19" t="s">
        <v>66</v>
      </c>
      <c r="B19" s="4"/>
      <c r="C19" t="b">
        <f>ISNUMBER(B19)</f>
        <v>0</v>
      </c>
    </row>
    <row r="20" spans="1:7" x14ac:dyDescent="0.25">
      <c r="A20" t="s">
        <v>6</v>
      </c>
    </row>
    <row r="21" spans="1:7" x14ac:dyDescent="0.25">
      <c r="A21" t="s">
        <v>67</v>
      </c>
    </row>
    <row r="22" spans="1:7" x14ac:dyDescent="0.25">
      <c r="A22" t="s">
        <v>68</v>
      </c>
      <c r="C22" t="s">
        <v>1</v>
      </c>
      <c r="D22" t="str">
        <f>B22&amp;C22</f>
        <v>.xlsm</v>
      </c>
    </row>
    <row r="23" spans="1:7" x14ac:dyDescent="0.25">
      <c r="A23" t="s">
        <v>69</v>
      </c>
    </row>
    <row r="25" spans="1:7" x14ac:dyDescent="0.25">
      <c r="A25" t="s">
        <v>70</v>
      </c>
      <c r="B25" s="4"/>
      <c r="C25" t="s">
        <v>71</v>
      </c>
      <c r="D25" s="18"/>
    </row>
    <row r="26" spans="1:7" x14ac:dyDescent="0.25">
      <c r="A26" t="s">
        <v>72</v>
      </c>
      <c r="B26" s="4">
        <f>B11+B25</f>
        <v>0</v>
      </c>
      <c r="C26" t="s">
        <v>73</v>
      </c>
      <c r="D26" s="4">
        <f>B19+D25</f>
        <v>0</v>
      </c>
    </row>
    <row r="27" spans="1:7" x14ac:dyDescent="0.25">
      <c r="A27" t="s">
        <v>74</v>
      </c>
      <c r="B27" s="4">
        <f>B25-B19</f>
        <v>0</v>
      </c>
    </row>
    <row r="29" spans="1:7" x14ac:dyDescent="0.25">
      <c r="A29" t="s">
        <v>75</v>
      </c>
      <c r="B29" s="3" t="s">
        <v>76</v>
      </c>
    </row>
    <row r="30" spans="1:7" x14ac:dyDescent="0.25">
      <c r="A30" t="s">
        <v>77</v>
      </c>
      <c r="B30">
        <f>SUM(C31:G31)</f>
        <v>1</v>
      </c>
      <c r="C30" t="b">
        <v>0</v>
      </c>
      <c r="D30" t="b">
        <v>0</v>
      </c>
      <c r="E30" t="b">
        <v>0</v>
      </c>
      <c r="F30" t="b">
        <v>1</v>
      </c>
      <c r="G30" t="b">
        <v>0</v>
      </c>
    </row>
    <row r="31" spans="1:7" x14ac:dyDescent="0.25">
      <c r="A31" t="s">
        <v>78</v>
      </c>
      <c r="B31" t="str">
        <f>IF(C30=TRUE,"CLIVE",IF(D30=TRUE,"JASON",IF(E30=TRUE,"CHRISTINE",IF(F30=TRUE,"SAVANNAH",IF(G30=TRUE,B33,"")))))</f>
        <v>SAVANNAH</v>
      </c>
      <c r="C31" t="str">
        <f>IF(C30=TRUE,1,"")</f>
        <v/>
      </c>
      <c r="D31" t="str">
        <f>IF(D30=TRUE,1,"")</f>
        <v/>
      </c>
      <c r="E31" t="str">
        <f>IF(E30=TRUE,1,"")</f>
        <v/>
      </c>
      <c r="F31">
        <f t="shared" ref="F31:G31" si="0">IF(F30=TRUE,1,"")</f>
        <v>1</v>
      </c>
      <c r="G31" t="str">
        <f t="shared" si="0"/>
        <v/>
      </c>
    </row>
    <row r="32" spans="1:7" x14ac:dyDescent="0.25">
      <c r="A32" t="s">
        <v>79</v>
      </c>
    </row>
    <row r="33" spans="1:4" x14ac:dyDescent="0.25">
      <c r="A33" t="s">
        <v>80</v>
      </c>
    </row>
    <row r="35" spans="1:4" x14ac:dyDescent="0.25">
      <c r="A35" t="s">
        <v>81</v>
      </c>
    </row>
    <row r="36" spans="1:4" x14ac:dyDescent="0.25">
      <c r="A36" t="s">
        <v>82</v>
      </c>
      <c r="B36" s="19"/>
      <c r="C36" t="s">
        <v>1</v>
      </c>
      <c r="D36" t="str">
        <f>B36&amp;C36</f>
        <v>.xlsm</v>
      </c>
    </row>
    <row r="37" spans="1:4" x14ac:dyDescent="0.25">
      <c r="A37" t="s">
        <v>83</v>
      </c>
    </row>
    <row r="39" spans="1:4" x14ac:dyDescent="0.25">
      <c r="B39" t="s">
        <v>84</v>
      </c>
    </row>
    <row r="40" spans="1:4" x14ac:dyDescent="0.25">
      <c r="A40" t="s">
        <v>70</v>
      </c>
      <c r="B40" s="4"/>
    </row>
    <row r="41" spans="1:4" x14ac:dyDescent="0.25">
      <c r="A41" t="s">
        <v>72</v>
      </c>
      <c r="B41" s="4">
        <f>B37+B40</f>
        <v>0</v>
      </c>
    </row>
    <row r="46" spans="1:4" x14ac:dyDescent="0.25">
      <c r="A46" t="s">
        <v>17</v>
      </c>
    </row>
    <row r="47" spans="1:4" x14ac:dyDescent="0.25">
      <c r="A47" t="s">
        <v>85</v>
      </c>
      <c r="B47" t="b">
        <v>0</v>
      </c>
      <c r="C47" t="str">
        <f>IF(B47=TRUE,1,"")</f>
        <v/>
      </c>
      <c r="D47">
        <f>SUM(C47:C49)</f>
        <v>0</v>
      </c>
    </row>
    <row r="48" spans="1:4" x14ac:dyDescent="0.25">
      <c r="A48" t="s">
        <v>86</v>
      </c>
      <c r="B48" t="b">
        <v>0</v>
      </c>
      <c r="C48" t="str">
        <f t="shared" ref="C48:C51" si="1">IF(B48=TRUE,1,"")</f>
        <v/>
      </c>
    </row>
    <row r="49" spans="1:4" x14ac:dyDescent="0.25">
      <c r="B49" t="b">
        <v>0</v>
      </c>
    </row>
    <row r="50" spans="1:4" x14ac:dyDescent="0.25">
      <c r="A50" t="s">
        <v>87</v>
      </c>
      <c r="B50" t="b">
        <v>0</v>
      </c>
      <c r="C50" t="str">
        <f t="shared" si="1"/>
        <v/>
      </c>
      <c r="D50">
        <f>SUM(C50:C51)</f>
        <v>0</v>
      </c>
    </row>
    <row r="51" spans="1:4" x14ac:dyDescent="0.25">
      <c r="A51" t="s">
        <v>88</v>
      </c>
      <c r="B51" t="b">
        <v>0</v>
      </c>
      <c r="C51" t="str">
        <f t="shared" si="1"/>
        <v/>
      </c>
    </row>
    <row r="52" spans="1:4" x14ac:dyDescent="0.25">
      <c r="A52" t="s">
        <v>89</v>
      </c>
    </row>
    <row r="53" spans="1:4" x14ac:dyDescent="0.25">
      <c r="A53" t="s">
        <v>90</v>
      </c>
      <c r="B53" t="str">
        <f>UPPER(B52)</f>
        <v/>
      </c>
    </row>
    <row r="54" spans="1:4" x14ac:dyDescent="0.25">
      <c r="A54" t="s">
        <v>91</v>
      </c>
    </row>
    <row r="55" spans="1:4" x14ac:dyDescent="0.25">
      <c r="A55" t="s">
        <v>32</v>
      </c>
    </row>
  </sheetData>
  <mergeCells count="1">
    <mergeCell ref="C18:D18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I94"/>
  <sheetViews>
    <sheetView workbookViewId="0">
      <selection activeCell="C1" sqref="C1:C1048576"/>
    </sheetView>
  </sheetViews>
  <sheetFormatPr defaultRowHeight="15" x14ac:dyDescent="0.25"/>
  <cols>
    <col min="1" max="1" width="35.85546875" customWidth="1"/>
    <col min="2" max="2" width="10.5703125" bestFit="1" customWidth="1"/>
    <col min="3" max="3" width="44.42578125" style="9" customWidth="1"/>
    <col min="4" max="4" width="21" style="21" customWidth="1"/>
    <col min="5" max="5" width="51.7109375" customWidth="1"/>
    <col min="6" max="6" width="17.42578125" customWidth="1"/>
    <col min="8" max="8" width="62.140625" style="9" customWidth="1"/>
    <col min="9" max="9" width="27.85546875" style="9" customWidth="1"/>
  </cols>
  <sheetData>
    <row r="1" spans="1:9" x14ac:dyDescent="0.25">
      <c r="A1" s="3" t="s">
        <v>100</v>
      </c>
      <c r="B1" s="3" t="s">
        <v>101</v>
      </c>
      <c r="C1" s="11" t="s">
        <v>102</v>
      </c>
      <c r="D1" s="20"/>
      <c r="E1" s="3" t="s">
        <v>103</v>
      </c>
      <c r="F1" s="3" t="s">
        <v>104</v>
      </c>
      <c r="H1" s="3"/>
      <c r="I1" s="3"/>
    </row>
    <row r="2" spans="1:9" x14ac:dyDescent="0.25">
      <c r="A2" t="s">
        <v>105</v>
      </c>
      <c r="B2" t="s">
        <v>106</v>
      </c>
      <c r="C2" t="s">
        <v>49</v>
      </c>
      <c r="E2" t="s">
        <v>182</v>
      </c>
      <c r="F2">
        <v>10053846</v>
      </c>
      <c r="H2"/>
      <c r="I2"/>
    </row>
    <row r="3" spans="1:9" x14ac:dyDescent="0.25">
      <c r="A3" t="s">
        <v>108</v>
      </c>
      <c r="B3" t="s">
        <v>106</v>
      </c>
      <c r="C3" t="s">
        <v>109</v>
      </c>
      <c r="E3" t="s">
        <v>107</v>
      </c>
      <c r="H3"/>
      <c r="I3"/>
    </row>
    <row r="4" spans="1:9" x14ac:dyDescent="0.25">
      <c r="A4" t="s">
        <v>111</v>
      </c>
      <c r="B4" t="s">
        <v>112</v>
      </c>
      <c r="C4" t="s">
        <v>113</v>
      </c>
      <c r="E4" t="s">
        <v>110</v>
      </c>
      <c r="F4">
        <v>10007783</v>
      </c>
      <c r="H4"/>
      <c r="I4"/>
    </row>
    <row r="5" spans="1:9" x14ac:dyDescent="0.25">
      <c r="A5" t="s">
        <v>115</v>
      </c>
      <c r="B5" t="s">
        <v>112</v>
      </c>
      <c r="C5" t="s">
        <v>116</v>
      </c>
      <c r="E5" t="s">
        <v>202</v>
      </c>
      <c r="F5">
        <v>10001718</v>
      </c>
      <c r="H5"/>
      <c r="I5"/>
    </row>
    <row r="6" spans="1:9" x14ac:dyDescent="0.25">
      <c r="A6" t="s">
        <v>118</v>
      </c>
      <c r="C6" t="s">
        <v>119</v>
      </c>
      <c r="E6" t="s">
        <v>114</v>
      </c>
      <c r="F6">
        <v>10009909</v>
      </c>
      <c r="H6"/>
      <c r="I6"/>
    </row>
    <row r="7" spans="1:9" x14ac:dyDescent="0.25">
      <c r="C7" t="s">
        <v>213</v>
      </c>
      <c r="E7" t="s">
        <v>117</v>
      </c>
      <c r="F7">
        <v>10001474</v>
      </c>
      <c r="H7"/>
      <c r="I7"/>
    </row>
    <row r="8" spans="1:9" x14ac:dyDescent="0.25">
      <c r="C8" t="s">
        <v>121</v>
      </c>
      <c r="E8" t="s">
        <v>183</v>
      </c>
      <c r="F8">
        <v>10013960</v>
      </c>
      <c r="H8"/>
      <c r="I8"/>
    </row>
    <row r="9" spans="1:9" x14ac:dyDescent="0.25">
      <c r="C9"/>
      <c r="E9" t="s">
        <v>201</v>
      </c>
      <c r="H9"/>
      <c r="I9"/>
    </row>
    <row r="10" spans="1:9" x14ac:dyDescent="0.25">
      <c r="E10" t="s">
        <v>120</v>
      </c>
      <c r="F10">
        <v>10017785</v>
      </c>
      <c r="H10"/>
      <c r="I10"/>
    </row>
    <row r="11" spans="1:9" x14ac:dyDescent="0.25">
      <c r="E11" t="s">
        <v>122</v>
      </c>
      <c r="F11">
        <v>10003121</v>
      </c>
      <c r="H11"/>
      <c r="I11"/>
    </row>
    <row r="12" spans="1:9" x14ac:dyDescent="0.25">
      <c r="E12" t="s">
        <v>184</v>
      </c>
      <c r="H12"/>
      <c r="I12"/>
    </row>
    <row r="13" spans="1:9" x14ac:dyDescent="0.25">
      <c r="C13"/>
      <c r="E13" t="s">
        <v>124</v>
      </c>
      <c r="F13">
        <v>10000127</v>
      </c>
      <c r="H13"/>
      <c r="I13"/>
    </row>
    <row r="14" spans="1:9" x14ac:dyDescent="0.25">
      <c r="C14"/>
      <c r="E14" t="s">
        <v>125</v>
      </c>
      <c r="H14"/>
      <c r="I14"/>
    </row>
    <row r="15" spans="1:9" x14ac:dyDescent="0.25">
      <c r="C15"/>
      <c r="E15" t="s">
        <v>126</v>
      </c>
      <c r="F15">
        <v>10022163</v>
      </c>
      <c r="I15"/>
    </row>
    <row r="16" spans="1:9" x14ac:dyDescent="0.25">
      <c r="E16" t="s">
        <v>203</v>
      </c>
      <c r="H16"/>
      <c r="I16"/>
    </row>
    <row r="17" spans="3:9" x14ac:dyDescent="0.25">
      <c r="C17"/>
      <c r="E17" t="s">
        <v>127</v>
      </c>
      <c r="F17">
        <v>10028868</v>
      </c>
      <c r="H17"/>
    </row>
    <row r="18" spans="3:9" x14ac:dyDescent="0.25">
      <c r="C18"/>
      <c r="E18" t="s">
        <v>185</v>
      </c>
      <c r="F18">
        <v>10061008</v>
      </c>
      <c r="H18"/>
      <c r="I18"/>
    </row>
    <row r="19" spans="3:9" x14ac:dyDescent="0.25">
      <c r="C19"/>
      <c r="E19" t="s">
        <v>186</v>
      </c>
      <c r="F19">
        <v>10013014</v>
      </c>
      <c r="H19"/>
      <c r="I19"/>
    </row>
    <row r="20" spans="3:9" x14ac:dyDescent="0.25">
      <c r="C20"/>
      <c r="E20" t="s">
        <v>128</v>
      </c>
      <c r="F20">
        <v>10000510</v>
      </c>
      <c r="H20"/>
      <c r="I20"/>
    </row>
    <row r="21" spans="3:9" x14ac:dyDescent="0.25">
      <c r="E21" t="s">
        <v>204</v>
      </c>
      <c r="H21"/>
      <c r="I21"/>
    </row>
    <row r="22" spans="3:9" x14ac:dyDescent="0.25">
      <c r="C22"/>
      <c r="E22" t="s">
        <v>187</v>
      </c>
      <c r="H22"/>
      <c r="I22"/>
    </row>
    <row r="23" spans="3:9" x14ac:dyDescent="0.25">
      <c r="C23"/>
      <c r="E23" t="s">
        <v>188</v>
      </c>
      <c r="F23">
        <v>10058509</v>
      </c>
      <c r="I23"/>
    </row>
    <row r="24" spans="3:9" x14ac:dyDescent="0.25">
      <c r="C24"/>
      <c r="E24" t="s">
        <v>129</v>
      </c>
      <c r="F24">
        <v>10004300</v>
      </c>
      <c r="I24"/>
    </row>
    <row r="25" spans="3:9" x14ac:dyDescent="0.25">
      <c r="C25"/>
      <c r="E25" t="s">
        <v>189</v>
      </c>
      <c r="F25">
        <v>10013430</v>
      </c>
    </row>
    <row r="26" spans="3:9" x14ac:dyDescent="0.25">
      <c r="C26"/>
      <c r="E26" t="s">
        <v>130</v>
      </c>
    </row>
    <row r="27" spans="3:9" x14ac:dyDescent="0.25">
      <c r="C27"/>
      <c r="E27" t="s">
        <v>131</v>
      </c>
    </row>
    <row r="28" spans="3:9" x14ac:dyDescent="0.25">
      <c r="C28"/>
      <c r="E28" t="s">
        <v>132</v>
      </c>
      <c r="F28">
        <v>10001474</v>
      </c>
    </row>
    <row r="29" spans="3:9" x14ac:dyDescent="0.25">
      <c r="C29"/>
      <c r="E29" t="s">
        <v>190</v>
      </c>
      <c r="H29"/>
    </row>
    <row r="30" spans="3:9" x14ac:dyDescent="0.25">
      <c r="C30"/>
      <c r="E30" t="s">
        <v>205</v>
      </c>
      <c r="F30">
        <v>10001366</v>
      </c>
      <c r="H30"/>
    </row>
    <row r="31" spans="3:9" x14ac:dyDescent="0.25">
      <c r="C31"/>
      <c r="E31" t="s">
        <v>206</v>
      </c>
      <c r="F31">
        <v>10055645</v>
      </c>
      <c r="H31"/>
      <c r="I31"/>
    </row>
    <row r="32" spans="3:9" x14ac:dyDescent="0.25">
      <c r="C32"/>
      <c r="E32" t="s">
        <v>207</v>
      </c>
      <c r="F32">
        <v>10016722</v>
      </c>
      <c r="H32"/>
      <c r="I32"/>
    </row>
    <row r="33" spans="3:9" x14ac:dyDescent="0.25">
      <c r="C33"/>
      <c r="E33" t="s">
        <v>133</v>
      </c>
      <c r="F33">
        <v>10001475</v>
      </c>
      <c r="H33"/>
      <c r="I33"/>
    </row>
    <row r="34" spans="3:9" x14ac:dyDescent="0.25">
      <c r="C34"/>
      <c r="E34" t="s">
        <v>134</v>
      </c>
      <c r="F34">
        <v>10023119</v>
      </c>
      <c r="H34"/>
      <c r="I34"/>
    </row>
    <row r="35" spans="3:9" x14ac:dyDescent="0.25">
      <c r="C35"/>
      <c r="E35" t="s">
        <v>191</v>
      </c>
      <c r="H35"/>
      <c r="I35"/>
    </row>
    <row r="36" spans="3:9" x14ac:dyDescent="0.25">
      <c r="C36"/>
      <c r="E36" t="s">
        <v>135</v>
      </c>
      <c r="H36"/>
      <c r="I36"/>
    </row>
    <row r="37" spans="3:9" x14ac:dyDescent="0.25">
      <c r="E37" t="s">
        <v>192</v>
      </c>
      <c r="F37">
        <v>10015899</v>
      </c>
      <c r="H37"/>
      <c r="I37"/>
    </row>
    <row r="38" spans="3:9" x14ac:dyDescent="0.25">
      <c r="E38" t="s">
        <v>208</v>
      </c>
      <c r="F38">
        <v>10019105</v>
      </c>
      <c r="H38"/>
      <c r="I38"/>
    </row>
    <row r="39" spans="3:9" x14ac:dyDescent="0.25">
      <c r="C39"/>
      <c r="E39" t="s">
        <v>193</v>
      </c>
      <c r="H39"/>
      <c r="I39"/>
    </row>
    <row r="40" spans="3:9" x14ac:dyDescent="0.25">
      <c r="E40" t="s">
        <v>136</v>
      </c>
      <c r="H40"/>
      <c r="I40"/>
    </row>
    <row r="41" spans="3:9" x14ac:dyDescent="0.25">
      <c r="C41"/>
      <c r="E41" t="s">
        <v>194</v>
      </c>
      <c r="H41"/>
      <c r="I41"/>
    </row>
    <row r="42" spans="3:9" x14ac:dyDescent="0.25">
      <c r="C42"/>
      <c r="E42" t="s">
        <v>195</v>
      </c>
      <c r="F42">
        <v>10001525</v>
      </c>
      <c r="H42"/>
      <c r="I42"/>
    </row>
    <row r="43" spans="3:9" x14ac:dyDescent="0.25">
      <c r="C43"/>
      <c r="E43" t="s">
        <v>137</v>
      </c>
      <c r="H43"/>
      <c r="I43"/>
    </row>
    <row r="44" spans="3:9" x14ac:dyDescent="0.25">
      <c r="C44"/>
      <c r="E44" t="s">
        <v>138</v>
      </c>
      <c r="F44">
        <v>10013351</v>
      </c>
      <c r="H44"/>
      <c r="I44"/>
    </row>
    <row r="45" spans="3:9" x14ac:dyDescent="0.25">
      <c r="C45"/>
      <c r="E45" t="s">
        <v>196</v>
      </c>
      <c r="F45">
        <v>10001731</v>
      </c>
      <c r="H45"/>
      <c r="I45"/>
    </row>
    <row r="46" spans="3:9" x14ac:dyDescent="0.25">
      <c r="C46"/>
      <c r="E46" t="s">
        <v>139</v>
      </c>
      <c r="F46">
        <v>1001145</v>
      </c>
      <c r="H46"/>
      <c r="I46"/>
    </row>
    <row r="47" spans="3:9" x14ac:dyDescent="0.25">
      <c r="C47"/>
      <c r="E47" t="s">
        <v>140</v>
      </c>
      <c r="I47"/>
    </row>
    <row r="48" spans="3:9" x14ac:dyDescent="0.25">
      <c r="C48"/>
      <c r="E48" t="s">
        <v>197</v>
      </c>
      <c r="I48"/>
    </row>
    <row r="49" spans="3:5" x14ac:dyDescent="0.25">
      <c r="C49"/>
      <c r="E49" t="s">
        <v>141</v>
      </c>
    </row>
    <row r="50" spans="3:5" x14ac:dyDescent="0.25">
      <c r="C50"/>
      <c r="E50" t="s">
        <v>142</v>
      </c>
    </row>
    <row r="51" spans="3:5" x14ac:dyDescent="0.25">
      <c r="C51"/>
      <c r="E51" t="s">
        <v>198</v>
      </c>
    </row>
    <row r="52" spans="3:5" x14ac:dyDescent="0.25">
      <c r="C52"/>
      <c r="E52" t="s">
        <v>209</v>
      </c>
    </row>
    <row r="53" spans="3:5" x14ac:dyDescent="0.25">
      <c r="C53"/>
      <c r="E53" t="s">
        <v>143</v>
      </c>
    </row>
    <row r="54" spans="3:5" x14ac:dyDescent="0.25">
      <c r="C54"/>
      <c r="E54" t="s">
        <v>200</v>
      </c>
    </row>
    <row r="55" spans="3:5" x14ac:dyDescent="0.25">
      <c r="C55"/>
      <c r="E55" t="s">
        <v>210</v>
      </c>
    </row>
    <row r="56" spans="3:5" x14ac:dyDescent="0.25">
      <c r="C56"/>
      <c r="E56" t="s">
        <v>199</v>
      </c>
    </row>
    <row r="60" spans="3:5" x14ac:dyDescent="0.25">
      <c r="C60"/>
    </row>
    <row r="61" spans="3:5" x14ac:dyDescent="0.25">
      <c r="C61"/>
    </row>
    <row r="62" spans="3:5" x14ac:dyDescent="0.25">
      <c r="C62"/>
    </row>
    <row r="63" spans="3:5" x14ac:dyDescent="0.25">
      <c r="C63"/>
    </row>
    <row r="64" spans="3:5" x14ac:dyDescent="0.25">
      <c r="C64"/>
    </row>
    <row r="65" spans="3:3" x14ac:dyDescent="0.25">
      <c r="C65"/>
    </row>
    <row r="66" spans="3:3" x14ac:dyDescent="0.25">
      <c r="C66"/>
    </row>
    <row r="67" spans="3:3" x14ac:dyDescent="0.25">
      <c r="C67"/>
    </row>
    <row r="68" spans="3:3" x14ac:dyDescent="0.25">
      <c r="C68"/>
    </row>
    <row r="69" spans="3:3" x14ac:dyDescent="0.25">
      <c r="C69"/>
    </row>
    <row r="70" spans="3:3" x14ac:dyDescent="0.25">
      <c r="C70"/>
    </row>
    <row r="71" spans="3:3" x14ac:dyDescent="0.25">
      <c r="C71"/>
    </row>
    <row r="72" spans="3:3" x14ac:dyDescent="0.25">
      <c r="C72"/>
    </row>
    <row r="73" spans="3:3" x14ac:dyDescent="0.25">
      <c r="C73"/>
    </row>
    <row r="74" spans="3:3" x14ac:dyDescent="0.25">
      <c r="C74"/>
    </row>
    <row r="77" spans="3:3" x14ac:dyDescent="0.25">
      <c r="C77"/>
    </row>
    <row r="78" spans="3:3" x14ac:dyDescent="0.25">
      <c r="C78"/>
    </row>
    <row r="79" spans="3:3" x14ac:dyDescent="0.25">
      <c r="C79"/>
    </row>
    <row r="80" spans="3:3" x14ac:dyDescent="0.25">
      <c r="C80"/>
    </row>
    <row r="81" spans="3:3" x14ac:dyDescent="0.25">
      <c r="C81"/>
    </row>
    <row r="82" spans="3:3" x14ac:dyDescent="0.25">
      <c r="C82"/>
    </row>
    <row r="83" spans="3:3" x14ac:dyDescent="0.25">
      <c r="C83"/>
    </row>
    <row r="84" spans="3:3" x14ac:dyDescent="0.25">
      <c r="C84"/>
    </row>
    <row r="85" spans="3:3" x14ac:dyDescent="0.25">
      <c r="C85"/>
    </row>
    <row r="86" spans="3:3" x14ac:dyDescent="0.25">
      <c r="C86"/>
    </row>
    <row r="87" spans="3:3" x14ac:dyDescent="0.25">
      <c r="C87"/>
    </row>
    <row r="91" spans="3:3" x14ac:dyDescent="0.25">
      <c r="C91"/>
    </row>
    <row r="92" spans="3:3" x14ac:dyDescent="0.25">
      <c r="C92"/>
    </row>
    <row r="93" spans="3:3" x14ac:dyDescent="0.25">
      <c r="C93"/>
    </row>
    <row r="94" spans="3:3" x14ac:dyDescent="0.25">
      <c r="C9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A95"/>
  <sheetViews>
    <sheetView workbookViewId="0"/>
  </sheetViews>
  <sheetFormatPr defaultRowHeight="15" x14ac:dyDescent="0.25"/>
  <cols>
    <col min="1" max="1" width="44.42578125" style="9" customWidth="1"/>
  </cols>
  <sheetData>
    <row r="1" spans="1:1" s="11" customFormat="1" ht="27" customHeight="1" x14ac:dyDescent="0.25">
      <c r="A1" s="11" t="s">
        <v>3</v>
      </c>
    </row>
    <row r="2" spans="1:1" x14ac:dyDescent="0.25">
      <c r="A2" t="s">
        <v>153</v>
      </c>
    </row>
    <row r="3" spans="1:1" x14ac:dyDescent="0.25">
      <c r="A3" t="s">
        <v>49</v>
      </c>
    </row>
    <row r="4" spans="1:1" x14ac:dyDescent="0.25">
      <c r="A4" t="s">
        <v>154</v>
      </c>
    </row>
    <row r="5" spans="1:1" x14ac:dyDescent="0.25">
      <c r="A5" t="s">
        <v>146</v>
      </c>
    </row>
    <row r="6" spans="1:1" x14ac:dyDescent="0.25">
      <c r="A6" t="s">
        <v>155</v>
      </c>
    </row>
    <row r="7" spans="1:1" x14ac:dyDescent="0.25">
      <c r="A7" t="s">
        <v>156</v>
      </c>
    </row>
    <row r="8" spans="1:1" x14ac:dyDescent="0.25">
      <c r="A8" t="s">
        <v>157</v>
      </c>
    </row>
    <row r="9" spans="1:1" x14ac:dyDescent="0.25">
      <c r="A9" t="s">
        <v>152</v>
      </c>
    </row>
    <row r="10" spans="1:1" x14ac:dyDescent="0.25">
      <c r="A10" s="25" t="s">
        <v>158</v>
      </c>
    </row>
    <row r="11" spans="1:1" x14ac:dyDescent="0.25">
      <c r="A11" t="s">
        <v>159</v>
      </c>
    </row>
    <row r="12" spans="1:1" x14ac:dyDescent="0.25">
      <c r="A12" t="s">
        <v>160</v>
      </c>
    </row>
    <row r="13" spans="1:1" x14ac:dyDescent="0.25">
      <c r="A13" t="s">
        <v>161</v>
      </c>
    </row>
    <row r="14" spans="1:1" x14ac:dyDescent="0.25">
      <c r="A14" s="9" t="s">
        <v>147</v>
      </c>
    </row>
    <row r="15" spans="1:1" x14ac:dyDescent="0.25">
      <c r="A15" t="s">
        <v>148</v>
      </c>
    </row>
    <row r="16" spans="1:1" x14ac:dyDescent="0.25">
      <c r="A16" t="s">
        <v>162</v>
      </c>
    </row>
    <row r="17" spans="1:1" x14ac:dyDescent="0.25">
      <c r="A17" t="s">
        <v>163</v>
      </c>
    </row>
    <row r="18" spans="1:1" x14ac:dyDescent="0.25">
      <c r="A18" s="9" t="s">
        <v>164</v>
      </c>
    </row>
    <row r="19" spans="1:1" x14ac:dyDescent="0.25">
      <c r="A19" s="24" t="s">
        <v>211</v>
      </c>
    </row>
    <row r="20" spans="1:1" x14ac:dyDescent="0.25">
      <c r="A20" s="9" t="s">
        <v>165</v>
      </c>
    </row>
    <row r="21" spans="1:1" x14ac:dyDescent="0.25">
      <c r="A21" t="s">
        <v>149</v>
      </c>
    </row>
    <row r="22" spans="1:1" x14ac:dyDescent="0.25">
      <c r="A22" s="9" t="s">
        <v>166</v>
      </c>
    </row>
    <row r="23" spans="1:1" x14ac:dyDescent="0.25">
      <c r="A23" s="9" t="s">
        <v>167</v>
      </c>
    </row>
    <row r="24" spans="1:1" x14ac:dyDescent="0.25">
      <c r="A24" t="s">
        <v>212</v>
      </c>
    </row>
    <row r="25" spans="1:1" x14ac:dyDescent="0.25">
      <c r="A25" t="s">
        <v>150</v>
      </c>
    </row>
    <row r="26" spans="1:1" x14ac:dyDescent="0.25">
      <c r="A26" t="s">
        <v>168</v>
      </c>
    </row>
    <row r="27" spans="1:1" x14ac:dyDescent="0.25">
      <c r="A27" t="s">
        <v>169</v>
      </c>
    </row>
    <row r="28" spans="1:1" x14ac:dyDescent="0.25">
      <c r="A28" t="s">
        <v>170</v>
      </c>
    </row>
    <row r="29" spans="1:1" x14ac:dyDescent="0.25">
      <c r="A29" t="s">
        <v>171</v>
      </c>
    </row>
    <row r="30" spans="1:1" x14ac:dyDescent="0.25">
      <c r="A30" t="s">
        <v>172</v>
      </c>
    </row>
    <row r="31" spans="1:1" x14ac:dyDescent="0.25">
      <c r="A31" t="s">
        <v>173</v>
      </c>
    </row>
    <row r="32" spans="1:1" x14ac:dyDescent="0.25">
      <c r="A32" t="s">
        <v>174</v>
      </c>
    </row>
    <row r="33" spans="1:1" x14ac:dyDescent="0.25">
      <c r="A33" t="s">
        <v>175</v>
      </c>
    </row>
    <row r="34" spans="1:1" x14ac:dyDescent="0.25">
      <c r="A34" t="s">
        <v>176</v>
      </c>
    </row>
    <row r="35" spans="1:1" x14ac:dyDescent="0.25">
      <c r="A35" t="s">
        <v>177</v>
      </c>
    </row>
    <row r="36" spans="1:1" x14ac:dyDescent="0.25">
      <c r="A36" t="s">
        <v>178</v>
      </c>
    </row>
    <row r="37" spans="1:1" x14ac:dyDescent="0.25">
      <c r="A37" t="s">
        <v>151</v>
      </c>
    </row>
    <row r="38" spans="1:1" x14ac:dyDescent="0.25">
      <c r="A38" t="s">
        <v>179</v>
      </c>
    </row>
    <row r="39" spans="1:1" x14ac:dyDescent="0.25">
      <c r="A39" t="s">
        <v>123</v>
      </c>
    </row>
    <row r="40" spans="1:1" x14ac:dyDescent="0.25">
      <c r="A40" t="s">
        <v>180</v>
      </c>
    </row>
    <row r="41" spans="1:1" x14ac:dyDescent="0.25">
      <c r="A41" t="s">
        <v>181</v>
      </c>
    </row>
    <row r="42" spans="1:1" x14ac:dyDescent="0.25">
      <c r="A42"/>
    </row>
    <row r="46" spans="1:1" x14ac:dyDescent="0.25">
      <c r="A46"/>
    </row>
    <row r="47" spans="1:1" x14ac:dyDescent="0.25">
      <c r="A47"/>
    </row>
    <row r="48" spans="1:1" x14ac:dyDescent="0.25">
      <c r="A48"/>
    </row>
    <row r="49" spans="1:1" x14ac:dyDescent="0.25">
      <c r="A49"/>
    </row>
    <row r="50" spans="1:1" x14ac:dyDescent="0.25">
      <c r="A50"/>
    </row>
    <row r="51" spans="1:1" x14ac:dyDescent="0.25">
      <c r="A51"/>
    </row>
    <row r="52" spans="1:1" x14ac:dyDescent="0.25">
      <c r="A52"/>
    </row>
    <row r="53" spans="1:1" x14ac:dyDescent="0.25">
      <c r="A53"/>
    </row>
    <row r="54" spans="1:1" x14ac:dyDescent="0.25">
      <c r="A54"/>
    </row>
    <row r="55" spans="1:1" x14ac:dyDescent="0.25">
      <c r="A55"/>
    </row>
    <row r="56" spans="1:1" x14ac:dyDescent="0.25">
      <c r="A56"/>
    </row>
    <row r="57" spans="1:1" x14ac:dyDescent="0.25">
      <c r="A57"/>
    </row>
    <row r="58" spans="1:1" x14ac:dyDescent="0.25">
      <c r="A58"/>
    </row>
    <row r="59" spans="1:1" x14ac:dyDescent="0.25">
      <c r="A59"/>
    </row>
    <row r="60" spans="1:1" x14ac:dyDescent="0.25">
      <c r="A60"/>
    </row>
    <row r="63" spans="1:1" x14ac:dyDescent="0.25">
      <c r="A63"/>
    </row>
    <row r="64" spans="1:1" x14ac:dyDescent="0.25">
      <c r="A64"/>
    </row>
    <row r="65" spans="1:1" x14ac:dyDescent="0.25">
      <c r="A65"/>
    </row>
    <row r="66" spans="1:1" x14ac:dyDescent="0.25">
      <c r="A66"/>
    </row>
    <row r="67" spans="1:1" x14ac:dyDescent="0.25">
      <c r="A67"/>
    </row>
    <row r="68" spans="1:1" x14ac:dyDescent="0.25">
      <c r="A68"/>
    </row>
    <row r="69" spans="1:1" x14ac:dyDescent="0.25">
      <c r="A69"/>
    </row>
    <row r="70" spans="1:1" x14ac:dyDescent="0.25">
      <c r="A70"/>
    </row>
    <row r="71" spans="1:1" x14ac:dyDescent="0.25">
      <c r="A71"/>
    </row>
    <row r="72" spans="1:1" x14ac:dyDescent="0.25">
      <c r="A72"/>
    </row>
    <row r="73" spans="1:1" x14ac:dyDescent="0.25">
      <c r="A73"/>
    </row>
    <row r="77" spans="1:1" x14ac:dyDescent="0.25">
      <c r="A77"/>
    </row>
    <row r="78" spans="1:1" x14ac:dyDescent="0.25">
      <c r="A78"/>
    </row>
    <row r="79" spans="1:1" x14ac:dyDescent="0.25">
      <c r="A79"/>
    </row>
    <row r="80" spans="1:1" x14ac:dyDescent="0.25">
      <c r="A80"/>
    </row>
    <row r="83" spans="1:1" x14ac:dyDescent="0.25">
      <c r="A83"/>
    </row>
    <row r="84" spans="1:1" x14ac:dyDescent="0.25">
      <c r="A84"/>
    </row>
    <row r="85" spans="1:1" x14ac:dyDescent="0.25">
      <c r="A85"/>
    </row>
    <row r="86" spans="1:1" x14ac:dyDescent="0.25">
      <c r="A86"/>
    </row>
    <row r="87" spans="1:1" x14ac:dyDescent="0.25">
      <c r="A87"/>
    </row>
    <row r="88" spans="1:1" x14ac:dyDescent="0.25">
      <c r="A88"/>
    </row>
    <row r="92" spans="1:1" x14ac:dyDescent="0.25">
      <c r="A92"/>
    </row>
    <row r="93" spans="1:1" x14ac:dyDescent="0.25">
      <c r="A93"/>
    </row>
    <row r="94" spans="1:1" x14ac:dyDescent="0.25">
      <c r="A94"/>
    </row>
    <row r="95" spans="1:1" x14ac:dyDescent="0.25">
      <c r="A9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B96"/>
  <sheetViews>
    <sheetView workbookViewId="0">
      <selection sqref="A1:B1048576"/>
    </sheetView>
  </sheetViews>
  <sheetFormatPr defaultRowHeight="15" x14ac:dyDescent="0.25"/>
  <cols>
    <col min="1" max="1" width="51.7109375" customWidth="1"/>
    <col min="2" max="2" width="17.42578125" customWidth="1"/>
  </cols>
  <sheetData>
    <row r="1" spans="1:2" x14ac:dyDescent="0.25">
      <c r="A1" s="3" t="s">
        <v>103</v>
      </c>
      <c r="B1" s="3" t="s">
        <v>104</v>
      </c>
    </row>
    <row r="2" spans="1:2" x14ac:dyDescent="0.25">
      <c r="A2" t="s">
        <v>182</v>
      </c>
      <c r="B2">
        <v>10053846</v>
      </c>
    </row>
    <row r="3" spans="1:2" x14ac:dyDescent="0.25">
      <c r="A3" t="s">
        <v>214</v>
      </c>
    </row>
    <row r="4" spans="1:2" x14ac:dyDescent="0.25">
      <c r="A4" t="s">
        <v>107</v>
      </c>
      <c r="B4">
        <v>10007783</v>
      </c>
    </row>
    <row r="5" spans="1:2" x14ac:dyDescent="0.25">
      <c r="A5" t="s">
        <v>215</v>
      </c>
      <c r="B5">
        <v>10001718</v>
      </c>
    </row>
    <row r="6" spans="1:2" x14ac:dyDescent="0.25">
      <c r="A6" t="s">
        <v>215</v>
      </c>
      <c r="B6">
        <v>10009909</v>
      </c>
    </row>
    <row r="7" spans="1:2" x14ac:dyDescent="0.25">
      <c r="A7" t="s">
        <v>110</v>
      </c>
      <c r="B7">
        <v>10001474</v>
      </c>
    </row>
    <row r="8" spans="1:2" x14ac:dyDescent="0.25">
      <c r="A8" t="s">
        <v>202</v>
      </c>
      <c r="B8">
        <v>10013960</v>
      </c>
    </row>
    <row r="9" spans="1:2" x14ac:dyDescent="0.25">
      <c r="A9" t="s">
        <v>114</v>
      </c>
    </row>
    <row r="10" spans="1:2" x14ac:dyDescent="0.25">
      <c r="A10" t="s">
        <v>216</v>
      </c>
      <c r="B10">
        <v>10017785</v>
      </c>
    </row>
    <row r="11" spans="1:2" x14ac:dyDescent="0.25">
      <c r="A11" t="s">
        <v>117</v>
      </c>
      <c r="B11">
        <v>10003121</v>
      </c>
    </row>
    <row r="12" spans="1:2" x14ac:dyDescent="0.25">
      <c r="A12" t="s">
        <v>217</v>
      </c>
    </row>
    <row r="13" spans="1:2" x14ac:dyDescent="0.25">
      <c r="A13" t="s">
        <v>183</v>
      </c>
      <c r="B13">
        <v>10000127</v>
      </c>
    </row>
    <row r="14" spans="1:2" x14ac:dyDescent="0.25">
      <c r="A14" t="s">
        <v>201</v>
      </c>
    </row>
    <row r="15" spans="1:2" x14ac:dyDescent="0.25">
      <c r="A15" t="s">
        <v>218</v>
      </c>
      <c r="B15">
        <v>10022163</v>
      </c>
    </row>
    <row r="16" spans="1:2" x14ac:dyDescent="0.25">
      <c r="A16" t="s">
        <v>109</v>
      </c>
    </row>
    <row r="17" spans="1:2" x14ac:dyDescent="0.25">
      <c r="A17" t="s">
        <v>219</v>
      </c>
      <c r="B17">
        <v>10028868</v>
      </c>
    </row>
    <row r="18" spans="1:2" x14ac:dyDescent="0.25">
      <c r="A18" t="s">
        <v>120</v>
      </c>
      <c r="B18">
        <v>10061008</v>
      </c>
    </row>
    <row r="19" spans="1:2" x14ac:dyDescent="0.25">
      <c r="A19" t="s">
        <v>220</v>
      </c>
      <c r="B19">
        <v>10013014</v>
      </c>
    </row>
    <row r="20" spans="1:2" x14ac:dyDescent="0.25">
      <c r="A20" t="s">
        <v>221</v>
      </c>
      <c r="B20">
        <v>10000510</v>
      </c>
    </row>
    <row r="21" spans="1:2" x14ac:dyDescent="0.25">
      <c r="A21" t="s">
        <v>222</v>
      </c>
    </row>
    <row r="22" spans="1:2" x14ac:dyDescent="0.25">
      <c r="A22" t="s">
        <v>223</v>
      </c>
    </row>
    <row r="23" spans="1:2" x14ac:dyDescent="0.25">
      <c r="A23" t="s">
        <v>122</v>
      </c>
      <c r="B23">
        <v>10058509</v>
      </c>
    </row>
    <row r="24" spans="1:2" x14ac:dyDescent="0.25">
      <c r="A24" t="s">
        <v>224</v>
      </c>
      <c r="B24">
        <v>10004300</v>
      </c>
    </row>
    <row r="25" spans="1:2" x14ac:dyDescent="0.25">
      <c r="A25" t="s">
        <v>184</v>
      </c>
      <c r="B25">
        <v>10013430</v>
      </c>
    </row>
    <row r="26" spans="1:2" x14ac:dyDescent="0.25">
      <c r="A26" t="s">
        <v>225</v>
      </c>
    </row>
    <row r="27" spans="1:2" x14ac:dyDescent="0.25">
      <c r="A27" t="s">
        <v>226</v>
      </c>
    </row>
    <row r="28" spans="1:2" x14ac:dyDescent="0.25">
      <c r="A28" t="s">
        <v>124</v>
      </c>
      <c r="B28">
        <v>10001474</v>
      </c>
    </row>
    <row r="29" spans="1:2" x14ac:dyDescent="0.25">
      <c r="A29" t="s">
        <v>227</v>
      </c>
    </row>
    <row r="30" spans="1:2" x14ac:dyDescent="0.25">
      <c r="A30" t="s">
        <v>125</v>
      </c>
      <c r="B30">
        <v>10001366</v>
      </c>
    </row>
    <row r="31" spans="1:2" x14ac:dyDescent="0.25">
      <c r="A31" t="s">
        <v>126</v>
      </c>
      <c r="B31">
        <v>10055645</v>
      </c>
    </row>
    <row r="32" spans="1:2" x14ac:dyDescent="0.25">
      <c r="A32" t="s">
        <v>228</v>
      </c>
      <c r="B32">
        <v>10016722</v>
      </c>
    </row>
    <row r="33" spans="1:2" x14ac:dyDescent="0.25">
      <c r="A33" t="s">
        <v>203</v>
      </c>
      <c r="B33">
        <v>10001475</v>
      </c>
    </row>
    <row r="34" spans="1:2" x14ac:dyDescent="0.25">
      <c r="A34" t="s">
        <v>127</v>
      </c>
      <c r="B34">
        <v>10023119</v>
      </c>
    </row>
    <row r="35" spans="1:2" x14ac:dyDescent="0.25">
      <c r="A35" t="s">
        <v>185</v>
      </c>
    </row>
    <row r="36" spans="1:2" x14ac:dyDescent="0.25">
      <c r="A36" t="s">
        <v>229</v>
      </c>
    </row>
    <row r="37" spans="1:2" x14ac:dyDescent="0.25">
      <c r="A37" t="s">
        <v>186</v>
      </c>
      <c r="B37">
        <v>10015899</v>
      </c>
    </row>
    <row r="38" spans="1:2" x14ac:dyDescent="0.25">
      <c r="A38" t="s">
        <v>230</v>
      </c>
      <c r="B38">
        <v>10019105</v>
      </c>
    </row>
    <row r="39" spans="1:2" x14ac:dyDescent="0.25">
      <c r="A39" t="s">
        <v>128</v>
      </c>
    </row>
    <row r="40" spans="1:2" x14ac:dyDescent="0.25">
      <c r="A40" t="s">
        <v>204</v>
      </c>
    </row>
    <row r="41" spans="1:2" x14ac:dyDescent="0.25">
      <c r="A41" t="s">
        <v>187</v>
      </c>
    </row>
    <row r="42" spans="1:2" x14ac:dyDescent="0.25">
      <c r="A42" t="s">
        <v>188</v>
      </c>
      <c r="B42">
        <v>10001525</v>
      </c>
    </row>
    <row r="43" spans="1:2" x14ac:dyDescent="0.25">
      <c r="A43" t="s">
        <v>231</v>
      </c>
    </row>
    <row r="44" spans="1:2" x14ac:dyDescent="0.25">
      <c r="A44" t="s">
        <v>129</v>
      </c>
      <c r="B44">
        <v>10013351</v>
      </c>
    </row>
    <row r="45" spans="1:2" x14ac:dyDescent="0.25">
      <c r="A45" t="s">
        <v>189</v>
      </c>
      <c r="B45">
        <v>10001731</v>
      </c>
    </row>
    <row r="46" spans="1:2" x14ac:dyDescent="0.25">
      <c r="A46" t="s">
        <v>130</v>
      </c>
      <c r="B46">
        <v>1001145</v>
      </c>
    </row>
    <row r="47" spans="1:2" x14ac:dyDescent="0.25">
      <c r="A47" t="s">
        <v>232</v>
      </c>
    </row>
    <row r="48" spans="1:2" x14ac:dyDescent="0.25">
      <c r="A48" t="s">
        <v>233</v>
      </c>
    </row>
    <row r="49" spans="1:1" x14ac:dyDescent="0.25">
      <c r="A49" t="s">
        <v>234</v>
      </c>
    </row>
    <row r="50" spans="1:1" x14ac:dyDescent="0.25">
      <c r="A50" t="s">
        <v>235</v>
      </c>
    </row>
    <row r="51" spans="1:1" x14ac:dyDescent="0.25">
      <c r="A51" t="s">
        <v>236</v>
      </c>
    </row>
    <row r="52" spans="1:1" x14ac:dyDescent="0.25">
      <c r="A52" t="s">
        <v>237</v>
      </c>
    </row>
    <row r="53" spans="1:1" x14ac:dyDescent="0.25">
      <c r="A53" t="s">
        <v>238</v>
      </c>
    </row>
    <row r="54" spans="1:1" x14ac:dyDescent="0.25">
      <c r="A54" t="s">
        <v>239</v>
      </c>
    </row>
    <row r="55" spans="1:1" x14ac:dyDescent="0.25">
      <c r="A55" t="s">
        <v>240</v>
      </c>
    </row>
    <row r="56" spans="1:1" x14ac:dyDescent="0.25">
      <c r="A56" t="s">
        <v>131</v>
      </c>
    </row>
    <row r="57" spans="1:1" x14ac:dyDescent="0.25">
      <c r="A57" t="s">
        <v>132</v>
      </c>
    </row>
    <row r="58" spans="1:1" x14ac:dyDescent="0.25">
      <c r="A58" t="s">
        <v>190</v>
      </c>
    </row>
    <row r="59" spans="1:1" x14ac:dyDescent="0.25">
      <c r="A59" t="s">
        <v>205</v>
      </c>
    </row>
    <row r="60" spans="1:1" x14ac:dyDescent="0.25">
      <c r="A60" t="s">
        <v>241</v>
      </c>
    </row>
    <row r="61" spans="1:1" x14ac:dyDescent="0.25">
      <c r="A61" t="s">
        <v>242</v>
      </c>
    </row>
    <row r="62" spans="1:1" x14ac:dyDescent="0.25">
      <c r="A62" t="s">
        <v>206</v>
      </c>
    </row>
    <row r="63" spans="1:1" x14ac:dyDescent="0.25">
      <c r="A63" t="s">
        <v>207</v>
      </c>
    </row>
    <row r="64" spans="1:1" x14ac:dyDescent="0.25">
      <c r="A64" t="s">
        <v>243</v>
      </c>
    </row>
    <row r="65" spans="1:1" x14ac:dyDescent="0.25">
      <c r="A65" t="s">
        <v>133</v>
      </c>
    </row>
    <row r="66" spans="1:1" x14ac:dyDescent="0.25">
      <c r="A66" t="s">
        <v>244</v>
      </c>
    </row>
    <row r="67" spans="1:1" x14ac:dyDescent="0.25">
      <c r="A67" t="s">
        <v>245</v>
      </c>
    </row>
    <row r="68" spans="1:1" x14ac:dyDescent="0.25">
      <c r="A68" t="s">
        <v>134</v>
      </c>
    </row>
    <row r="69" spans="1:1" x14ac:dyDescent="0.25">
      <c r="A69" t="s">
        <v>191</v>
      </c>
    </row>
    <row r="70" spans="1:1" x14ac:dyDescent="0.25">
      <c r="A70" t="s">
        <v>246</v>
      </c>
    </row>
    <row r="71" spans="1:1" x14ac:dyDescent="0.25">
      <c r="A71" t="s">
        <v>135</v>
      </c>
    </row>
    <row r="72" spans="1:1" x14ac:dyDescent="0.25">
      <c r="A72" t="s">
        <v>192</v>
      </c>
    </row>
    <row r="73" spans="1:1" x14ac:dyDescent="0.25">
      <c r="A73" t="s">
        <v>247</v>
      </c>
    </row>
    <row r="74" spans="1:1" x14ac:dyDescent="0.25">
      <c r="A74" t="s">
        <v>208</v>
      </c>
    </row>
    <row r="75" spans="1:1" x14ac:dyDescent="0.25">
      <c r="A75" t="s">
        <v>193</v>
      </c>
    </row>
    <row r="76" spans="1:1" x14ac:dyDescent="0.25">
      <c r="A76" t="s">
        <v>136</v>
      </c>
    </row>
    <row r="77" spans="1:1" x14ac:dyDescent="0.25">
      <c r="A77" t="s">
        <v>248</v>
      </c>
    </row>
    <row r="78" spans="1:1" x14ac:dyDescent="0.25">
      <c r="A78" t="s">
        <v>194</v>
      </c>
    </row>
    <row r="79" spans="1:1" x14ac:dyDescent="0.25">
      <c r="A79" t="s">
        <v>195</v>
      </c>
    </row>
    <row r="80" spans="1:1" x14ac:dyDescent="0.25">
      <c r="A80" t="s">
        <v>137</v>
      </c>
    </row>
    <row r="81" spans="1:1" x14ac:dyDescent="0.25">
      <c r="A81" t="s">
        <v>138</v>
      </c>
    </row>
    <row r="82" spans="1:1" x14ac:dyDescent="0.25">
      <c r="A82" t="s">
        <v>249</v>
      </c>
    </row>
    <row r="83" spans="1:1" x14ac:dyDescent="0.25">
      <c r="A83" t="s">
        <v>250</v>
      </c>
    </row>
    <row r="84" spans="1:1" x14ac:dyDescent="0.25">
      <c r="A84" t="s">
        <v>251</v>
      </c>
    </row>
    <row r="85" spans="1:1" x14ac:dyDescent="0.25">
      <c r="A85" t="s">
        <v>196</v>
      </c>
    </row>
    <row r="86" spans="1:1" x14ac:dyDescent="0.25">
      <c r="A86" t="s">
        <v>139</v>
      </c>
    </row>
    <row r="87" spans="1:1" x14ac:dyDescent="0.25">
      <c r="A87" t="s">
        <v>140</v>
      </c>
    </row>
    <row r="88" spans="1:1" x14ac:dyDescent="0.25">
      <c r="A88" t="s">
        <v>197</v>
      </c>
    </row>
    <row r="89" spans="1:1" x14ac:dyDescent="0.25">
      <c r="A89" t="s">
        <v>141</v>
      </c>
    </row>
    <row r="90" spans="1:1" x14ac:dyDescent="0.25">
      <c r="A90" t="s">
        <v>142</v>
      </c>
    </row>
    <row r="91" spans="1:1" x14ac:dyDescent="0.25">
      <c r="A91" t="s">
        <v>198</v>
      </c>
    </row>
    <row r="92" spans="1:1" x14ac:dyDescent="0.25">
      <c r="A92" t="s">
        <v>209</v>
      </c>
    </row>
    <row r="93" spans="1:1" x14ac:dyDescent="0.25">
      <c r="A93" t="s">
        <v>143</v>
      </c>
    </row>
    <row r="94" spans="1:1" x14ac:dyDescent="0.25">
      <c r="A94" t="s">
        <v>200</v>
      </c>
    </row>
    <row r="95" spans="1:1" x14ac:dyDescent="0.25">
      <c r="A95" t="s">
        <v>210</v>
      </c>
    </row>
    <row r="96" spans="1:1" x14ac:dyDescent="0.25">
      <c r="A96" t="s">
        <v>199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COVER</vt:lpstr>
      <vt:lpstr>LINK</vt:lpstr>
      <vt:lpstr>LINK2</vt:lpstr>
      <vt:lpstr>LISTS</vt:lpstr>
      <vt:lpstr>ACC</vt:lpstr>
      <vt:lpstr>ALTER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Gary Aitchison</dc:creator>
  <cp:lastModifiedBy>Gary Aitchison</cp:lastModifiedBy>
  <dcterms:created xsi:type="dcterms:W3CDTF">2015-03-23T12:07:36Z</dcterms:created>
  <dcterms:modified xsi:type="dcterms:W3CDTF">2020-11-17T17:38:35Z</dcterms:modified>
</cp:coreProperties>
</file>