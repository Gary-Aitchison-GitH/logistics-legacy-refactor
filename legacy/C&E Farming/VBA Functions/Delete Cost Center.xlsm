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75" windowWidth="20115" windowHeight="7995"/>
  </bookViews>
  <sheets>
    <sheet name="COVER" sheetId="1" r:id="rId1"/>
    <sheet name="LINK" sheetId="2" state="hidden" r:id="rId2"/>
    <sheet name="STOCK" sheetId="3" state="hidden" r:id="rId3"/>
    <sheet name="ACC" sheetId="4" state="hidden" r:id="rId4"/>
  </sheets>
  <calcPr calcId="145621"/>
</workbook>
</file>

<file path=xl/calcChain.xml><?xml version="1.0" encoding="utf-8"?>
<calcChain xmlns="http://schemas.openxmlformats.org/spreadsheetml/2006/main">
  <c r="J427" i="3" l="1"/>
  <c r="G427" i="3"/>
  <c r="F427" i="3"/>
  <c r="K426" i="3"/>
  <c r="J426" i="3"/>
  <c r="L426" i="3" s="1"/>
  <c r="G426" i="3"/>
  <c r="F426" i="3"/>
  <c r="L425" i="3"/>
  <c r="J425" i="3"/>
  <c r="K425" i="3" s="1"/>
  <c r="G425" i="3"/>
  <c r="F425" i="3"/>
  <c r="L424" i="3"/>
  <c r="K424" i="3"/>
  <c r="J424" i="3"/>
  <c r="G424" i="3"/>
  <c r="F424" i="3"/>
  <c r="J423" i="3"/>
  <c r="G423" i="3"/>
  <c r="F423" i="3"/>
  <c r="K422" i="3"/>
  <c r="J422" i="3"/>
  <c r="L422" i="3" s="1"/>
  <c r="G422" i="3"/>
  <c r="F422" i="3"/>
  <c r="L421" i="3"/>
  <c r="K421" i="3"/>
  <c r="J421" i="3"/>
  <c r="G421" i="3"/>
  <c r="F421" i="3"/>
  <c r="J420" i="3"/>
  <c r="G420" i="3"/>
  <c r="F420" i="3"/>
  <c r="J419" i="3"/>
  <c r="G419" i="3"/>
  <c r="F419" i="3"/>
  <c r="K418" i="3"/>
  <c r="J418" i="3"/>
  <c r="L418" i="3" s="1"/>
  <c r="G418" i="3"/>
  <c r="F418" i="3"/>
  <c r="J417" i="3"/>
  <c r="G417" i="3"/>
  <c r="F417" i="3"/>
  <c r="K416" i="3"/>
  <c r="J416" i="3"/>
  <c r="L416" i="3" s="1"/>
  <c r="G416" i="3"/>
  <c r="F416" i="3"/>
  <c r="J415" i="3"/>
  <c r="G415" i="3"/>
  <c r="F415" i="3"/>
  <c r="J414" i="3"/>
  <c r="G414" i="3"/>
  <c r="F414" i="3"/>
  <c r="K413" i="3"/>
  <c r="J413" i="3"/>
  <c r="L413" i="3" s="1"/>
  <c r="G413" i="3"/>
  <c r="F413" i="3"/>
  <c r="L412" i="3"/>
  <c r="K412" i="3"/>
  <c r="J412" i="3"/>
  <c r="G412" i="3"/>
  <c r="F412" i="3"/>
  <c r="J411" i="3"/>
  <c r="G411" i="3"/>
  <c r="F411" i="3"/>
  <c r="K410" i="3"/>
  <c r="J410" i="3"/>
  <c r="L410" i="3" s="1"/>
  <c r="G410" i="3"/>
  <c r="F410" i="3"/>
  <c r="L409" i="3"/>
  <c r="K409" i="3"/>
  <c r="J409" i="3"/>
  <c r="G409" i="3"/>
  <c r="F409" i="3"/>
  <c r="L408" i="3"/>
  <c r="K408" i="3"/>
  <c r="J408" i="3"/>
  <c r="G408" i="3"/>
  <c r="F408" i="3"/>
  <c r="J407" i="3"/>
  <c r="G407" i="3"/>
  <c r="F407" i="3"/>
  <c r="K406" i="3"/>
  <c r="J406" i="3"/>
  <c r="L406" i="3" s="1"/>
  <c r="G406" i="3"/>
  <c r="F406" i="3"/>
  <c r="L405" i="3"/>
  <c r="K405" i="3"/>
  <c r="J405" i="3"/>
  <c r="G405" i="3"/>
  <c r="F405" i="3"/>
  <c r="J404" i="3"/>
  <c r="G404" i="3"/>
  <c r="F404" i="3"/>
  <c r="J403" i="3"/>
  <c r="G403" i="3"/>
  <c r="F403" i="3"/>
  <c r="K402" i="3"/>
  <c r="J402" i="3"/>
  <c r="L402" i="3" s="1"/>
  <c r="G402" i="3"/>
  <c r="F402" i="3"/>
  <c r="J401" i="3"/>
  <c r="G401" i="3"/>
  <c r="F401" i="3"/>
  <c r="K400" i="3"/>
  <c r="J400" i="3"/>
  <c r="L400" i="3" s="1"/>
  <c r="G400" i="3"/>
  <c r="F400" i="3"/>
  <c r="J399" i="3"/>
  <c r="G399" i="3"/>
  <c r="F399" i="3"/>
  <c r="J398" i="3"/>
  <c r="G398" i="3"/>
  <c r="F398" i="3"/>
  <c r="K397" i="3"/>
  <c r="J397" i="3"/>
  <c r="L397" i="3" s="1"/>
  <c r="G397" i="3"/>
  <c r="F397" i="3"/>
  <c r="L396" i="3"/>
  <c r="K396" i="3"/>
  <c r="J396" i="3"/>
  <c r="G396" i="3"/>
  <c r="F396" i="3"/>
  <c r="J395" i="3"/>
  <c r="G395" i="3"/>
  <c r="F395" i="3"/>
  <c r="K394" i="3"/>
  <c r="J394" i="3"/>
  <c r="L394" i="3" s="1"/>
  <c r="G394" i="3"/>
  <c r="F394" i="3"/>
  <c r="L393" i="3"/>
  <c r="K393" i="3"/>
  <c r="J393" i="3"/>
  <c r="G393" i="3"/>
  <c r="F393" i="3"/>
  <c r="L392" i="3"/>
  <c r="J392" i="3"/>
  <c r="K392" i="3" s="1"/>
  <c r="G392" i="3"/>
  <c r="F392" i="3"/>
  <c r="J391" i="3"/>
  <c r="G391" i="3"/>
  <c r="F391" i="3"/>
  <c r="K390" i="3"/>
  <c r="J390" i="3"/>
  <c r="L390" i="3" s="1"/>
  <c r="G390" i="3"/>
  <c r="F390" i="3"/>
  <c r="L389" i="3"/>
  <c r="J389" i="3"/>
  <c r="K389" i="3" s="1"/>
  <c r="G389" i="3"/>
  <c r="F389" i="3"/>
  <c r="J388" i="3"/>
  <c r="G388" i="3"/>
  <c r="F388" i="3"/>
  <c r="J387" i="3"/>
  <c r="G387" i="3"/>
  <c r="F387" i="3"/>
  <c r="J386" i="3"/>
  <c r="L386" i="3" s="1"/>
  <c r="G386" i="3"/>
  <c r="F386" i="3"/>
  <c r="J385" i="3"/>
  <c r="G385" i="3"/>
  <c r="F385" i="3"/>
  <c r="J384" i="3"/>
  <c r="G384" i="3"/>
  <c r="F384" i="3"/>
  <c r="J383" i="3"/>
  <c r="G383" i="3"/>
  <c r="F383" i="3"/>
  <c r="J382" i="3"/>
  <c r="L382" i="3" s="1"/>
  <c r="G382" i="3"/>
  <c r="F382" i="3"/>
  <c r="J381" i="3"/>
  <c r="G381" i="3"/>
  <c r="F381" i="3"/>
  <c r="J380" i="3"/>
  <c r="G380" i="3"/>
  <c r="F380" i="3"/>
  <c r="J379" i="3"/>
  <c r="G379" i="3"/>
  <c r="F379" i="3"/>
  <c r="J378" i="3"/>
  <c r="L378" i="3" s="1"/>
  <c r="G378" i="3"/>
  <c r="F378" i="3"/>
  <c r="J377" i="3"/>
  <c r="G377" i="3"/>
  <c r="F377" i="3"/>
  <c r="J376" i="3"/>
  <c r="G376" i="3"/>
  <c r="F376" i="3"/>
  <c r="J375" i="3"/>
  <c r="G375" i="3"/>
  <c r="F375" i="3"/>
  <c r="J374" i="3"/>
  <c r="L374" i="3" s="1"/>
  <c r="G374" i="3"/>
  <c r="F374" i="3"/>
  <c r="J373" i="3"/>
  <c r="G373" i="3"/>
  <c r="F373" i="3"/>
  <c r="J372" i="3"/>
  <c r="G372" i="3"/>
  <c r="F372" i="3"/>
  <c r="J371" i="3"/>
  <c r="G371" i="3"/>
  <c r="F371" i="3"/>
  <c r="J370" i="3"/>
  <c r="L370" i="3" s="1"/>
  <c r="G370" i="3"/>
  <c r="F370" i="3"/>
  <c r="J369" i="3"/>
  <c r="G369" i="3"/>
  <c r="F369" i="3"/>
  <c r="J368" i="3"/>
  <c r="G368" i="3"/>
  <c r="F368" i="3"/>
  <c r="J367" i="3"/>
  <c r="G367" i="3"/>
  <c r="F367" i="3"/>
  <c r="J366" i="3"/>
  <c r="L366" i="3" s="1"/>
  <c r="G366" i="3"/>
  <c r="F366" i="3"/>
  <c r="J365" i="3"/>
  <c r="G365" i="3"/>
  <c r="F365" i="3"/>
  <c r="J364" i="3"/>
  <c r="G364" i="3"/>
  <c r="F364" i="3"/>
  <c r="J363" i="3"/>
  <c r="G363" i="3"/>
  <c r="F363" i="3"/>
  <c r="J362" i="3"/>
  <c r="G362" i="3"/>
  <c r="F362" i="3"/>
  <c r="J361" i="3"/>
  <c r="G361" i="3"/>
  <c r="F361" i="3"/>
  <c r="J360" i="3"/>
  <c r="G360" i="3"/>
  <c r="F360" i="3"/>
  <c r="J359" i="3"/>
  <c r="L359" i="3" s="1"/>
  <c r="F359" i="3"/>
  <c r="K358" i="3"/>
  <c r="J358" i="3"/>
  <c r="L358" i="3" s="1"/>
  <c r="G358" i="3"/>
  <c r="F358" i="3"/>
  <c r="J357" i="3"/>
  <c r="L357" i="3" s="1"/>
  <c r="G357" i="3"/>
  <c r="F357" i="3"/>
  <c r="J356" i="3"/>
  <c r="K356" i="3" s="1"/>
  <c r="G356" i="3"/>
  <c r="F356" i="3"/>
  <c r="J355" i="3"/>
  <c r="G355" i="3"/>
  <c r="F355" i="3"/>
  <c r="K354" i="3"/>
  <c r="J354" i="3"/>
  <c r="L354" i="3" s="1"/>
  <c r="G354" i="3"/>
  <c r="F354" i="3"/>
  <c r="J353" i="3"/>
  <c r="L353" i="3" s="1"/>
  <c r="G353" i="3"/>
  <c r="F353" i="3"/>
  <c r="J352" i="3"/>
  <c r="K352" i="3" s="1"/>
  <c r="G352" i="3"/>
  <c r="F352" i="3"/>
  <c r="J351" i="3"/>
  <c r="G351" i="3"/>
  <c r="F351" i="3"/>
  <c r="K350" i="3"/>
  <c r="J350" i="3"/>
  <c r="L350" i="3" s="1"/>
  <c r="G350" i="3"/>
  <c r="F350" i="3"/>
  <c r="J349" i="3"/>
  <c r="L349" i="3" s="1"/>
  <c r="G349" i="3"/>
  <c r="F349" i="3"/>
  <c r="J348" i="3"/>
  <c r="K348" i="3" s="1"/>
  <c r="G348" i="3"/>
  <c r="F348" i="3"/>
  <c r="J347" i="3"/>
  <c r="G347" i="3"/>
  <c r="F347" i="3"/>
  <c r="K346" i="3"/>
  <c r="J346" i="3"/>
  <c r="L346" i="3" s="1"/>
  <c r="G346" i="3"/>
  <c r="F346" i="3"/>
  <c r="J345" i="3"/>
  <c r="L345" i="3" s="1"/>
  <c r="G345" i="3"/>
  <c r="F345" i="3"/>
  <c r="J344" i="3"/>
  <c r="K344" i="3" s="1"/>
  <c r="G344" i="3"/>
  <c r="F344" i="3"/>
  <c r="J343" i="3"/>
  <c r="G343" i="3"/>
  <c r="F343" i="3"/>
  <c r="K342" i="3"/>
  <c r="J342" i="3"/>
  <c r="L342" i="3" s="1"/>
  <c r="G342" i="3"/>
  <c r="F342" i="3"/>
  <c r="J341" i="3"/>
  <c r="L341" i="3" s="1"/>
  <c r="G341" i="3"/>
  <c r="F341" i="3"/>
  <c r="J340" i="3"/>
  <c r="K340" i="3" s="1"/>
  <c r="G340" i="3"/>
  <c r="F340" i="3"/>
  <c r="J339" i="3"/>
  <c r="G339" i="3"/>
  <c r="F339" i="3"/>
  <c r="K338" i="3"/>
  <c r="J338" i="3"/>
  <c r="L338" i="3" s="1"/>
  <c r="G338" i="3"/>
  <c r="F338" i="3"/>
  <c r="J337" i="3"/>
  <c r="L337" i="3" s="1"/>
  <c r="G337" i="3"/>
  <c r="F337" i="3"/>
  <c r="J336" i="3"/>
  <c r="K336" i="3" s="1"/>
  <c r="G336" i="3"/>
  <c r="F336" i="3"/>
  <c r="J335" i="3"/>
  <c r="G335" i="3"/>
  <c r="F335" i="3"/>
  <c r="K334" i="3"/>
  <c r="J334" i="3"/>
  <c r="L334" i="3" s="1"/>
  <c r="G334" i="3"/>
  <c r="F334" i="3"/>
  <c r="J333" i="3"/>
  <c r="L333" i="3" s="1"/>
  <c r="G333" i="3"/>
  <c r="F333" i="3"/>
  <c r="J332" i="3"/>
  <c r="K332" i="3" s="1"/>
  <c r="G332" i="3"/>
  <c r="F332" i="3"/>
  <c r="J331" i="3"/>
  <c r="G331" i="3"/>
  <c r="F331" i="3"/>
  <c r="J330" i="3"/>
  <c r="L330" i="3" s="1"/>
  <c r="G330" i="3"/>
  <c r="F330" i="3"/>
  <c r="L329" i="3"/>
  <c r="K329" i="3"/>
  <c r="J329" i="3"/>
  <c r="G329" i="3"/>
  <c r="F329" i="3"/>
  <c r="L328" i="3"/>
  <c r="J328" i="3"/>
  <c r="K328" i="3" s="1"/>
  <c r="G328" i="3"/>
  <c r="F328" i="3"/>
  <c r="J327" i="3"/>
  <c r="G327" i="3"/>
  <c r="F327" i="3"/>
  <c r="J326" i="3"/>
  <c r="L326" i="3" s="1"/>
  <c r="G326" i="3"/>
  <c r="F326" i="3"/>
  <c r="L325" i="3"/>
  <c r="K325" i="3"/>
  <c r="J325" i="3"/>
  <c r="G325" i="3"/>
  <c r="F325" i="3"/>
  <c r="L324" i="3"/>
  <c r="J324" i="3"/>
  <c r="K324" i="3" s="1"/>
  <c r="G324" i="3"/>
  <c r="F324" i="3"/>
  <c r="J323" i="3"/>
  <c r="G323" i="3"/>
  <c r="F323" i="3"/>
  <c r="J322" i="3"/>
  <c r="L322" i="3" s="1"/>
  <c r="G322" i="3"/>
  <c r="F322" i="3"/>
  <c r="J321" i="3"/>
  <c r="G321" i="3"/>
  <c r="F321" i="3"/>
  <c r="J320" i="3"/>
  <c r="G320" i="3"/>
  <c r="F320" i="3"/>
  <c r="J319" i="3"/>
  <c r="G319" i="3"/>
  <c r="F319" i="3"/>
  <c r="J318" i="3"/>
  <c r="L318" i="3" s="1"/>
  <c r="G318" i="3"/>
  <c r="F318" i="3"/>
  <c r="J317" i="3"/>
  <c r="L317" i="3" s="1"/>
  <c r="G317" i="3"/>
  <c r="F317" i="3"/>
  <c r="J316" i="3"/>
  <c r="K316" i="3" s="1"/>
  <c r="G316" i="3"/>
  <c r="F316" i="3"/>
  <c r="J315" i="3"/>
  <c r="G315" i="3"/>
  <c r="F315" i="3"/>
  <c r="J314" i="3"/>
  <c r="L314" i="3" s="1"/>
  <c r="G314" i="3"/>
  <c r="F314" i="3"/>
  <c r="L313" i="3"/>
  <c r="K313" i="3"/>
  <c r="J313" i="3"/>
  <c r="G313" i="3"/>
  <c r="F313" i="3"/>
  <c r="L312" i="3"/>
  <c r="J312" i="3"/>
  <c r="K312" i="3" s="1"/>
  <c r="G312" i="3"/>
  <c r="F312" i="3"/>
  <c r="J311" i="3"/>
  <c r="G311" i="3"/>
  <c r="F311" i="3"/>
  <c r="J310" i="3"/>
  <c r="L310" i="3" s="1"/>
  <c r="G310" i="3"/>
  <c r="F310" i="3"/>
  <c r="L309" i="3"/>
  <c r="K309" i="3"/>
  <c r="J309" i="3"/>
  <c r="G309" i="3"/>
  <c r="F309" i="3"/>
  <c r="L308" i="3"/>
  <c r="J308" i="3"/>
  <c r="K308" i="3" s="1"/>
  <c r="G308" i="3"/>
  <c r="F308" i="3"/>
  <c r="J307" i="3"/>
  <c r="G307" i="3"/>
  <c r="F307" i="3"/>
  <c r="J306" i="3"/>
  <c r="L306" i="3" s="1"/>
  <c r="G306" i="3"/>
  <c r="F306" i="3"/>
  <c r="J305" i="3"/>
  <c r="G305" i="3"/>
  <c r="F305" i="3"/>
  <c r="J304" i="3"/>
  <c r="G304" i="3"/>
  <c r="F304" i="3"/>
  <c r="J303" i="3"/>
  <c r="G303" i="3"/>
  <c r="F303" i="3"/>
  <c r="J302" i="3"/>
  <c r="L302" i="3" s="1"/>
  <c r="G302" i="3"/>
  <c r="F302" i="3"/>
  <c r="J301" i="3"/>
  <c r="L301" i="3" s="1"/>
  <c r="G301" i="3"/>
  <c r="F301" i="3"/>
  <c r="J300" i="3"/>
  <c r="K300" i="3" s="1"/>
  <c r="G300" i="3"/>
  <c r="F300" i="3"/>
  <c r="J299" i="3"/>
  <c r="G299" i="3"/>
  <c r="F299" i="3"/>
  <c r="J298" i="3"/>
  <c r="L298" i="3" s="1"/>
  <c r="G298" i="3"/>
  <c r="F298" i="3"/>
  <c r="L297" i="3"/>
  <c r="K297" i="3"/>
  <c r="J297" i="3"/>
  <c r="G297" i="3"/>
  <c r="F297" i="3"/>
  <c r="L296" i="3"/>
  <c r="J296" i="3"/>
  <c r="K296" i="3" s="1"/>
  <c r="G296" i="3"/>
  <c r="F296" i="3"/>
  <c r="J295" i="3"/>
  <c r="G295" i="3"/>
  <c r="F295" i="3"/>
  <c r="J294" i="3"/>
  <c r="L294" i="3" s="1"/>
  <c r="G294" i="3"/>
  <c r="F294" i="3"/>
  <c r="L293" i="3"/>
  <c r="K293" i="3"/>
  <c r="J293" i="3"/>
  <c r="G293" i="3"/>
  <c r="F293" i="3"/>
  <c r="L292" i="3"/>
  <c r="J292" i="3"/>
  <c r="K292" i="3" s="1"/>
  <c r="G292" i="3"/>
  <c r="F292" i="3"/>
  <c r="J291" i="3"/>
  <c r="G291" i="3"/>
  <c r="F291" i="3"/>
  <c r="J290" i="3"/>
  <c r="L290" i="3" s="1"/>
  <c r="G290" i="3"/>
  <c r="F290" i="3"/>
  <c r="J289" i="3"/>
  <c r="G289" i="3"/>
  <c r="F289" i="3"/>
  <c r="J288" i="3"/>
  <c r="G288" i="3"/>
  <c r="F288" i="3"/>
  <c r="J287" i="3"/>
  <c r="G287" i="3"/>
  <c r="F287" i="3"/>
  <c r="J286" i="3"/>
  <c r="L286" i="3" s="1"/>
  <c r="G286" i="3"/>
  <c r="F286" i="3"/>
  <c r="J285" i="3"/>
  <c r="L285" i="3" s="1"/>
  <c r="G285" i="3"/>
  <c r="F285" i="3"/>
  <c r="J284" i="3"/>
  <c r="K284" i="3" s="1"/>
  <c r="G284" i="3"/>
  <c r="F284" i="3"/>
  <c r="J283" i="3"/>
  <c r="G283" i="3"/>
  <c r="F283" i="3"/>
  <c r="J282" i="3"/>
  <c r="L282" i="3" s="1"/>
  <c r="G282" i="3"/>
  <c r="F282" i="3"/>
  <c r="L281" i="3"/>
  <c r="K281" i="3"/>
  <c r="J281" i="3"/>
  <c r="G281" i="3"/>
  <c r="F281" i="3"/>
  <c r="L280" i="3"/>
  <c r="J280" i="3"/>
  <c r="K280" i="3" s="1"/>
  <c r="G280" i="3"/>
  <c r="F280" i="3"/>
  <c r="K279" i="3"/>
  <c r="J279" i="3"/>
  <c r="L279" i="3" s="1"/>
  <c r="G279" i="3"/>
  <c r="F279" i="3"/>
  <c r="J278" i="3"/>
  <c r="G278" i="3"/>
  <c r="F278" i="3"/>
  <c r="L277" i="3"/>
  <c r="K277" i="3"/>
  <c r="J277" i="3"/>
  <c r="G277" i="3"/>
  <c r="F277" i="3"/>
  <c r="L276" i="3"/>
  <c r="J276" i="3"/>
  <c r="K276" i="3" s="1"/>
  <c r="G276" i="3"/>
  <c r="F276" i="3"/>
  <c r="K275" i="3"/>
  <c r="J275" i="3"/>
  <c r="L275" i="3" s="1"/>
  <c r="G275" i="3"/>
  <c r="F275" i="3"/>
  <c r="L274" i="3"/>
  <c r="J274" i="3"/>
  <c r="K274" i="3" s="1"/>
  <c r="G274" i="3"/>
  <c r="F274" i="3"/>
  <c r="J273" i="3"/>
  <c r="L273" i="3" s="1"/>
  <c r="G273" i="3"/>
  <c r="F273" i="3"/>
  <c r="J272" i="3"/>
  <c r="K272" i="3" s="1"/>
  <c r="G272" i="3"/>
  <c r="F272" i="3"/>
  <c r="J271" i="3"/>
  <c r="L271" i="3" s="1"/>
  <c r="G271" i="3"/>
  <c r="F271" i="3"/>
  <c r="J270" i="3"/>
  <c r="G270" i="3"/>
  <c r="F270" i="3"/>
  <c r="J269" i="3"/>
  <c r="L269" i="3" s="1"/>
  <c r="G269" i="3"/>
  <c r="F269" i="3"/>
  <c r="J268" i="3"/>
  <c r="K268" i="3" s="1"/>
  <c r="G268" i="3"/>
  <c r="F268" i="3"/>
  <c r="J267" i="3"/>
  <c r="L267" i="3" s="1"/>
  <c r="G267" i="3"/>
  <c r="F267" i="3"/>
  <c r="J266" i="3"/>
  <c r="K266" i="3" s="1"/>
  <c r="G266" i="3"/>
  <c r="F266" i="3"/>
  <c r="J265" i="3"/>
  <c r="G265" i="3"/>
  <c r="F265" i="3"/>
  <c r="J264" i="3"/>
  <c r="G264" i="3"/>
  <c r="F264" i="3"/>
  <c r="J263" i="3"/>
  <c r="G263" i="3"/>
  <c r="F263" i="3"/>
  <c r="J262" i="3"/>
  <c r="G262" i="3"/>
  <c r="F262" i="3"/>
  <c r="J261" i="3"/>
  <c r="G261" i="3"/>
  <c r="F261" i="3"/>
  <c r="J260" i="3"/>
  <c r="G260" i="3"/>
  <c r="F260" i="3"/>
  <c r="J259" i="3"/>
  <c r="G259" i="3"/>
  <c r="F259" i="3"/>
  <c r="J258" i="3"/>
  <c r="G258" i="3"/>
  <c r="F258" i="3"/>
  <c r="L257" i="3"/>
  <c r="K257" i="3"/>
  <c r="J257" i="3"/>
  <c r="G257" i="3"/>
  <c r="F257" i="3"/>
  <c r="L256" i="3"/>
  <c r="J256" i="3"/>
  <c r="K256" i="3" s="1"/>
  <c r="G256" i="3"/>
  <c r="F256" i="3"/>
  <c r="K255" i="3"/>
  <c r="J255" i="3"/>
  <c r="L255" i="3" s="1"/>
  <c r="G255" i="3"/>
  <c r="F255" i="3"/>
  <c r="J254" i="3"/>
  <c r="G254" i="3"/>
  <c r="F254" i="3"/>
  <c r="L253" i="3"/>
  <c r="K253" i="3"/>
  <c r="J253" i="3"/>
  <c r="G253" i="3"/>
  <c r="F253" i="3"/>
  <c r="L252" i="3"/>
  <c r="J252" i="3"/>
  <c r="K252" i="3" s="1"/>
  <c r="G252" i="3"/>
  <c r="F252" i="3"/>
  <c r="K251" i="3"/>
  <c r="J251" i="3"/>
  <c r="L251" i="3" s="1"/>
  <c r="G251" i="3"/>
  <c r="F251" i="3"/>
  <c r="L250" i="3"/>
  <c r="J250" i="3"/>
  <c r="K250" i="3" s="1"/>
  <c r="G250" i="3"/>
  <c r="F250" i="3"/>
  <c r="L249" i="3"/>
  <c r="K249" i="3"/>
  <c r="J249" i="3"/>
  <c r="G249" i="3"/>
  <c r="F249" i="3"/>
  <c r="L248" i="3"/>
  <c r="J248" i="3"/>
  <c r="K248" i="3" s="1"/>
  <c r="G248" i="3"/>
  <c r="F248" i="3"/>
  <c r="K247" i="3"/>
  <c r="J247" i="3"/>
  <c r="L247" i="3" s="1"/>
  <c r="G247" i="3"/>
  <c r="F247" i="3"/>
  <c r="J246" i="3"/>
  <c r="K246" i="3" s="1"/>
  <c r="G246" i="3"/>
  <c r="F246" i="3"/>
  <c r="L245" i="3"/>
  <c r="K245" i="3"/>
  <c r="J245" i="3"/>
  <c r="G245" i="3"/>
  <c r="F245" i="3"/>
  <c r="L244" i="3"/>
  <c r="J244" i="3"/>
  <c r="K244" i="3" s="1"/>
  <c r="G244" i="3"/>
  <c r="F244" i="3"/>
  <c r="K243" i="3"/>
  <c r="J243" i="3"/>
  <c r="L243" i="3" s="1"/>
  <c r="G243" i="3"/>
  <c r="F243" i="3"/>
  <c r="L242" i="3"/>
  <c r="J242" i="3"/>
  <c r="K242" i="3" s="1"/>
  <c r="G242" i="3"/>
  <c r="F242" i="3"/>
  <c r="J241" i="3"/>
  <c r="L241" i="3" s="1"/>
  <c r="G241" i="3"/>
  <c r="F241" i="3"/>
  <c r="J240" i="3"/>
  <c r="K240" i="3" s="1"/>
  <c r="G240" i="3"/>
  <c r="F240" i="3"/>
  <c r="J239" i="3"/>
  <c r="L239" i="3" s="1"/>
  <c r="G239" i="3"/>
  <c r="F239" i="3"/>
  <c r="J238" i="3"/>
  <c r="K238" i="3" s="1"/>
  <c r="G238" i="3"/>
  <c r="F238" i="3"/>
  <c r="K237" i="3"/>
  <c r="J237" i="3"/>
  <c r="L237" i="3" s="1"/>
  <c r="G237" i="3"/>
  <c r="F237" i="3"/>
  <c r="J236" i="3"/>
  <c r="K236" i="3" s="1"/>
  <c r="G236" i="3"/>
  <c r="F236" i="3"/>
  <c r="L235" i="3"/>
  <c r="K235" i="3"/>
  <c r="J235" i="3"/>
  <c r="G235" i="3"/>
  <c r="F235" i="3"/>
  <c r="L234" i="3"/>
  <c r="J234" i="3"/>
  <c r="K234" i="3" s="1"/>
  <c r="G234" i="3"/>
  <c r="F234" i="3"/>
  <c r="K233" i="3"/>
  <c r="J233" i="3"/>
  <c r="L233" i="3" s="1"/>
  <c r="G233" i="3"/>
  <c r="F233" i="3"/>
  <c r="L232" i="3"/>
  <c r="J232" i="3"/>
  <c r="K232" i="3" s="1"/>
  <c r="G232" i="3"/>
  <c r="F232" i="3"/>
  <c r="J231" i="3"/>
  <c r="L231" i="3" s="1"/>
  <c r="G231" i="3"/>
  <c r="F231" i="3"/>
  <c r="J230" i="3"/>
  <c r="K230" i="3" s="1"/>
  <c r="G230" i="3"/>
  <c r="F230" i="3"/>
  <c r="K229" i="3"/>
  <c r="J229" i="3"/>
  <c r="L229" i="3" s="1"/>
  <c r="G229" i="3"/>
  <c r="F229" i="3"/>
  <c r="J228" i="3"/>
  <c r="K228" i="3" s="1"/>
  <c r="G228" i="3"/>
  <c r="F228" i="3"/>
  <c r="L227" i="3"/>
  <c r="K227" i="3"/>
  <c r="J227" i="3"/>
  <c r="G227" i="3"/>
  <c r="F227" i="3"/>
  <c r="L226" i="3"/>
  <c r="J226" i="3"/>
  <c r="K226" i="3" s="1"/>
  <c r="G226" i="3"/>
  <c r="F226" i="3"/>
  <c r="K225" i="3"/>
  <c r="J225" i="3"/>
  <c r="L225" i="3" s="1"/>
  <c r="G225" i="3"/>
  <c r="F225" i="3"/>
  <c r="L224" i="3"/>
  <c r="J224" i="3"/>
  <c r="K224" i="3" s="1"/>
  <c r="G224" i="3"/>
  <c r="F224" i="3"/>
  <c r="J223" i="3"/>
  <c r="G223" i="3"/>
  <c r="F223" i="3"/>
  <c r="J222" i="3"/>
  <c r="K222" i="3" s="1"/>
  <c r="G222" i="3"/>
  <c r="F222" i="3"/>
  <c r="K221" i="3"/>
  <c r="J221" i="3"/>
  <c r="L221" i="3" s="1"/>
  <c r="G221" i="3"/>
  <c r="F221" i="3"/>
  <c r="J220" i="3"/>
  <c r="K220" i="3" s="1"/>
  <c r="G220" i="3"/>
  <c r="F220" i="3"/>
  <c r="L219" i="3"/>
  <c r="K219" i="3"/>
  <c r="J219" i="3"/>
  <c r="G219" i="3"/>
  <c r="F219" i="3"/>
  <c r="L218" i="3"/>
  <c r="J218" i="3"/>
  <c r="K218" i="3" s="1"/>
  <c r="G218" i="3"/>
  <c r="F218" i="3"/>
  <c r="K217" i="3"/>
  <c r="J217" i="3"/>
  <c r="L217" i="3" s="1"/>
  <c r="G217" i="3"/>
  <c r="F217" i="3"/>
  <c r="L216" i="3"/>
  <c r="J216" i="3"/>
  <c r="K216" i="3" s="1"/>
  <c r="G216" i="3"/>
  <c r="F216" i="3"/>
  <c r="J215" i="3"/>
  <c r="G215" i="3"/>
  <c r="F215" i="3"/>
  <c r="J214" i="3"/>
  <c r="K214" i="3" s="1"/>
  <c r="G214" i="3"/>
  <c r="F214" i="3"/>
  <c r="K213" i="3"/>
  <c r="J213" i="3"/>
  <c r="L213" i="3" s="1"/>
  <c r="G213" i="3"/>
  <c r="F213" i="3"/>
  <c r="J212" i="3"/>
  <c r="K212" i="3" s="1"/>
  <c r="G212" i="3"/>
  <c r="F212" i="3"/>
  <c r="L211" i="3"/>
  <c r="K211" i="3"/>
  <c r="J211" i="3"/>
  <c r="G211" i="3"/>
  <c r="F211" i="3"/>
  <c r="L210" i="3"/>
  <c r="J210" i="3"/>
  <c r="K210" i="3" s="1"/>
  <c r="G210" i="3"/>
  <c r="F210" i="3"/>
  <c r="K209" i="3"/>
  <c r="J209" i="3"/>
  <c r="L209" i="3" s="1"/>
  <c r="G209" i="3"/>
  <c r="F209" i="3"/>
  <c r="J208" i="3"/>
  <c r="L208" i="3" s="1"/>
  <c r="G208" i="3"/>
  <c r="F208" i="3"/>
  <c r="L207" i="3"/>
  <c r="K207" i="3"/>
  <c r="J207" i="3"/>
  <c r="G207" i="3"/>
  <c r="F207" i="3"/>
  <c r="L206" i="3"/>
  <c r="J206" i="3"/>
  <c r="K206" i="3" s="1"/>
  <c r="G206" i="3"/>
  <c r="F206" i="3"/>
  <c r="K205" i="3"/>
  <c r="J205" i="3"/>
  <c r="L205" i="3" s="1"/>
  <c r="G205" i="3"/>
  <c r="F205" i="3"/>
  <c r="L204" i="3"/>
  <c r="J204" i="3"/>
  <c r="K204" i="3" s="1"/>
  <c r="G204" i="3"/>
  <c r="F204" i="3"/>
  <c r="J203" i="3"/>
  <c r="K203" i="3" s="1"/>
  <c r="G203" i="3"/>
  <c r="F203" i="3"/>
  <c r="J202" i="3"/>
  <c r="G202" i="3"/>
  <c r="F202" i="3"/>
  <c r="J201" i="3"/>
  <c r="G201" i="3"/>
  <c r="F201" i="3"/>
  <c r="J200" i="3"/>
  <c r="L200" i="3" s="1"/>
  <c r="G200" i="3"/>
  <c r="F200" i="3"/>
  <c r="L199" i="3"/>
  <c r="J199" i="3"/>
  <c r="K199" i="3" s="1"/>
  <c r="G199" i="3"/>
  <c r="F199" i="3"/>
  <c r="J198" i="3"/>
  <c r="G198" i="3"/>
  <c r="F198" i="3"/>
  <c r="J197" i="3"/>
  <c r="G197" i="3"/>
  <c r="F197" i="3"/>
  <c r="J196" i="3"/>
  <c r="G196" i="3"/>
  <c r="F196" i="3"/>
  <c r="K195" i="3"/>
  <c r="J195" i="3"/>
  <c r="L195" i="3" s="1"/>
  <c r="G195" i="3"/>
  <c r="F195" i="3"/>
  <c r="L194" i="3"/>
  <c r="J194" i="3"/>
  <c r="K194" i="3" s="1"/>
  <c r="G194" i="3"/>
  <c r="F194" i="3"/>
  <c r="K193" i="3"/>
  <c r="J193" i="3"/>
  <c r="L193" i="3" s="1"/>
  <c r="G193" i="3"/>
  <c r="F193" i="3"/>
  <c r="J192" i="3"/>
  <c r="L192" i="3" s="1"/>
  <c r="G192" i="3"/>
  <c r="F192" i="3"/>
  <c r="K191" i="3"/>
  <c r="J191" i="3"/>
  <c r="L191" i="3" s="1"/>
  <c r="G191" i="3"/>
  <c r="F191" i="3"/>
  <c r="L190" i="3"/>
  <c r="J190" i="3"/>
  <c r="K190" i="3" s="1"/>
  <c r="G190" i="3"/>
  <c r="F190" i="3"/>
  <c r="K189" i="3"/>
  <c r="J189" i="3"/>
  <c r="L189" i="3" s="1"/>
  <c r="G189" i="3"/>
  <c r="F189" i="3"/>
  <c r="L188" i="3"/>
  <c r="J188" i="3"/>
  <c r="K188" i="3" s="1"/>
  <c r="G188" i="3"/>
  <c r="F188" i="3"/>
  <c r="L187" i="3"/>
  <c r="K187" i="3"/>
  <c r="J187" i="3"/>
  <c r="G187" i="3"/>
  <c r="F187" i="3"/>
  <c r="L186" i="3"/>
  <c r="J186" i="3"/>
  <c r="K186" i="3" s="1"/>
  <c r="G186" i="3"/>
  <c r="F186" i="3"/>
  <c r="K185" i="3"/>
  <c r="J185" i="3"/>
  <c r="L185" i="3" s="1"/>
  <c r="G185" i="3"/>
  <c r="F185" i="3"/>
  <c r="J184" i="3"/>
  <c r="L184" i="3" s="1"/>
  <c r="G184" i="3"/>
  <c r="F184" i="3"/>
  <c r="L183" i="3"/>
  <c r="K183" i="3"/>
  <c r="J183" i="3"/>
  <c r="G183" i="3"/>
  <c r="F183" i="3"/>
  <c r="L182" i="3"/>
  <c r="J182" i="3"/>
  <c r="K182" i="3" s="1"/>
  <c r="G182" i="3"/>
  <c r="F182" i="3"/>
  <c r="K181" i="3"/>
  <c r="J181" i="3"/>
  <c r="L181" i="3" s="1"/>
  <c r="G181" i="3"/>
  <c r="F181" i="3"/>
  <c r="L180" i="3"/>
  <c r="J180" i="3"/>
  <c r="K180" i="3" s="1"/>
  <c r="G180" i="3"/>
  <c r="F180" i="3"/>
  <c r="L179" i="3"/>
  <c r="K179" i="3"/>
  <c r="J179" i="3"/>
  <c r="G179" i="3"/>
  <c r="F179" i="3"/>
  <c r="L178" i="3"/>
  <c r="J178" i="3"/>
  <c r="K178" i="3" s="1"/>
  <c r="G178" i="3"/>
  <c r="F178" i="3"/>
  <c r="K177" i="3"/>
  <c r="J177" i="3"/>
  <c r="L177" i="3" s="1"/>
  <c r="G177" i="3"/>
  <c r="F177" i="3"/>
  <c r="J176" i="3"/>
  <c r="L176" i="3" s="1"/>
  <c r="G176" i="3"/>
  <c r="F176" i="3"/>
  <c r="L175" i="3"/>
  <c r="K175" i="3"/>
  <c r="J175" i="3"/>
  <c r="G175" i="3"/>
  <c r="F175" i="3"/>
  <c r="L174" i="3"/>
  <c r="J174" i="3"/>
  <c r="K174" i="3" s="1"/>
  <c r="G174" i="3"/>
  <c r="F174" i="3"/>
  <c r="K173" i="3"/>
  <c r="J173" i="3"/>
  <c r="L173" i="3" s="1"/>
  <c r="G173" i="3"/>
  <c r="F173" i="3"/>
  <c r="L172" i="3"/>
  <c r="J172" i="3"/>
  <c r="K172" i="3" s="1"/>
  <c r="G172" i="3"/>
  <c r="F172" i="3"/>
  <c r="J171" i="3"/>
  <c r="K171" i="3" s="1"/>
  <c r="G171" i="3"/>
  <c r="F171" i="3"/>
  <c r="J170" i="3"/>
  <c r="G170" i="3"/>
  <c r="F170" i="3"/>
  <c r="J169" i="3"/>
  <c r="G169" i="3"/>
  <c r="F169" i="3"/>
  <c r="J168" i="3"/>
  <c r="L168" i="3" s="1"/>
  <c r="G168" i="3"/>
  <c r="F168" i="3"/>
  <c r="J167" i="3"/>
  <c r="K167" i="3" s="1"/>
  <c r="G167" i="3"/>
  <c r="F167" i="3"/>
  <c r="J166" i="3"/>
  <c r="G166" i="3"/>
  <c r="F166" i="3"/>
  <c r="J165" i="3"/>
  <c r="G165" i="3"/>
  <c r="F165" i="3"/>
  <c r="J164" i="3"/>
  <c r="G164" i="3"/>
  <c r="F164" i="3"/>
  <c r="K163" i="3"/>
  <c r="J163" i="3"/>
  <c r="L163" i="3" s="1"/>
  <c r="G163" i="3"/>
  <c r="F163" i="3"/>
  <c r="L162" i="3"/>
  <c r="J162" i="3"/>
  <c r="K162" i="3" s="1"/>
  <c r="G162" i="3"/>
  <c r="F162" i="3"/>
  <c r="K161" i="3"/>
  <c r="J161" i="3"/>
  <c r="L161" i="3" s="1"/>
  <c r="G161" i="3"/>
  <c r="F161" i="3"/>
  <c r="J160" i="3"/>
  <c r="L160" i="3" s="1"/>
  <c r="G160" i="3"/>
  <c r="F160" i="3"/>
  <c r="J159" i="3"/>
  <c r="L159" i="3" s="1"/>
  <c r="G159" i="3"/>
  <c r="F159" i="3"/>
  <c r="J158" i="3"/>
  <c r="K158" i="3" s="1"/>
  <c r="G158" i="3"/>
  <c r="F158" i="3"/>
  <c r="J157" i="3"/>
  <c r="L157" i="3" s="1"/>
  <c r="G157" i="3"/>
  <c r="F157" i="3"/>
  <c r="J156" i="3"/>
  <c r="K156" i="3" s="1"/>
  <c r="G156" i="3"/>
  <c r="F156" i="3"/>
  <c r="L155" i="3"/>
  <c r="K155" i="3"/>
  <c r="J155" i="3"/>
  <c r="G155" i="3"/>
  <c r="F155" i="3"/>
  <c r="L154" i="3"/>
  <c r="J154" i="3"/>
  <c r="K154" i="3" s="1"/>
  <c r="G154" i="3"/>
  <c r="F154" i="3"/>
  <c r="K153" i="3"/>
  <c r="J153" i="3"/>
  <c r="L153" i="3" s="1"/>
  <c r="G153" i="3"/>
  <c r="F153" i="3"/>
  <c r="J152" i="3"/>
  <c r="L152" i="3" s="1"/>
  <c r="G152" i="3"/>
  <c r="F152" i="3"/>
  <c r="L151" i="3"/>
  <c r="K151" i="3"/>
  <c r="J151" i="3"/>
  <c r="G151" i="3"/>
  <c r="F151" i="3"/>
  <c r="L150" i="3"/>
  <c r="J150" i="3"/>
  <c r="K150" i="3" s="1"/>
  <c r="G150" i="3"/>
  <c r="F150" i="3"/>
  <c r="K149" i="3"/>
  <c r="J149" i="3"/>
  <c r="L149" i="3" s="1"/>
  <c r="G149" i="3"/>
  <c r="F149" i="3"/>
  <c r="L148" i="3"/>
  <c r="J148" i="3"/>
  <c r="K148" i="3" s="1"/>
  <c r="G148" i="3"/>
  <c r="F148" i="3"/>
  <c r="L147" i="3"/>
  <c r="K147" i="3"/>
  <c r="J147" i="3"/>
  <c r="G147" i="3"/>
  <c r="F147" i="3"/>
  <c r="L146" i="3"/>
  <c r="J146" i="3"/>
  <c r="K146" i="3" s="1"/>
  <c r="G146" i="3"/>
  <c r="F146" i="3"/>
  <c r="K145" i="3"/>
  <c r="J145" i="3"/>
  <c r="L145" i="3" s="1"/>
  <c r="G145" i="3"/>
  <c r="F145" i="3"/>
  <c r="J144" i="3"/>
  <c r="L144" i="3" s="1"/>
  <c r="G144" i="3"/>
  <c r="F144" i="3"/>
  <c r="L143" i="3"/>
  <c r="K143" i="3"/>
  <c r="J143" i="3"/>
  <c r="G143" i="3"/>
  <c r="F143" i="3"/>
  <c r="L142" i="3"/>
  <c r="J142" i="3"/>
  <c r="K142" i="3" s="1"/>
  <c r="G142" i="3"/>
  <c r="F142" i="3"/>
  <c r="K141" i="3"/>
  <c r="J141" i="3"/>
  <c r="L141" i="3" s="1"/>
  <c r="G141" i="3"/>
  <c r="F141" i="3"/>
  <c r="L140" i="3"/>
  <c r="J140" i="3"/>
  <c r="K140" i="3" s="1"/>
  <c r="G140" i="3"/>
  <c r="F140" i="3"/>
  <c r="L139" i="3"/>
  <c r="J139" i="3"/>
  <c r="K139" i="3" s="1"/>
  <c r="G139" i="3"/>
  <c r="F139" i="3"/>
  <c r="J138" i="3"/>
  <c r="G138" i="3"/>
  <c r="F138" i="3"/>
  <c r="J137" i="3"/>
  <c r="G137" i="3"/>
  <c r="F137" i="3"/>
  <c r="J136" i="3"/>
  <c r="L136" i="3" s="1"/>
  <c r="G136" i="3"/>
  <c r="F136" i="3"/>
  <c r="J135" i="3"/>
  <c r="K135" i="3" s="1"/>
  <c r="G135" i="3"/>
  <c r="F135" i="3"/>
  <c r="J134" i="3"/>
  <c r="G134" i="3"/>
  <c r="F134" i="3"/>
  <c r="J133" i="3"/>
  <c r="G133" i="3"/>
  <c r="F133" i="3"/>
  <c r="J132" i="3"/>
  <c r="G132" i="3"/>
  <c r="F132" i="3"/>
  <c r="J131" i="3"/>
  <c r="L131" i="3" s="1"/>
  <c r="G131" i="3"/>
  <c r="F131" i="3"/>
  <c r="J130" i="3"/>
  <c r="K130" i="3" s="1"/>
  <c r="G130" i="3"/>
  <c r="F130" i="3"/>
  <c r="J129" i="3"/>
  <c r="L129" i="3" s="1"/>
  <c r="G129" i="3"/>
  <c r="F129" i="3"/>
  <c r="J128" i="3"/>
  <c r="L128" i="3" s="1"/>
  <c r="G128" i="3"/>
  <c r="F128" i="3"/>
  <c r="J127" i="3"/>
  <c r="L127" i="3" s="1"/>
  <c r="G127" i="3"/>
  <c r="F127" i="3"/>
  <c r="J126" i="3"/>
  <c r="K126" i="3" s="1"/>
  <c r="G126" i="3"/>
  <c r="F126" i="3"/>
  <c r="J125" i="3"/>
  <c r="L125" i="3" s="1"/>
  <c r="G125" i="3"/>
  <c r="F125" i="3"/>
  <c r="J124" i="3"/>
  <c r="K124" i="3" s="1"/>
  <c r="G124" i="3"/>
  <c r="F124" i="3"/>
  <c r="L123" i="3"/>
  <c r="K123" i="3"/>
  <c r="J123" i="3"/>
  <c r="G123" i="3"/>
  <c r="F123" i="3"/>
  <c r="L122" i="3"/>
  <c r="J122" i="3"/>
  <c r="K122" i="3" s="1"/>
  <c r="G122" i="3"/>
  <c r="F122" i="3"/>
  <c r="K121" i="3"/>
  <c r="J121" i="3"/>
  <c r="L121" i="3" s="1"/>
  <c r="G121" i="3"/>
  <c r="F121" i="3"/>
  <c r="J120" i="3"/>
  <c r="L120" i="3" s="1"/>
  <c r="G120" i="3"/>
  <c r="F120" i="3"/>
  <c r="L119" i="3"/>
  <c r="K119" i="3"/>
  <c r="J119" i="3"/>
  <c r="G119" i="3"/>
  <c r="F119" i="3"/>
  <c r="L118" i="3"/>
  <c r="J118" i="3"/>
  <c r="K118" i="3" s="1"/>
  <c r="G118" i="3"/>
  <c r="F118" i="3"/>
  <c r="K117" i="3"/>
  <c r="J117" i="3"/>
  <c r="L117" i="3" s="1"/>
  <c r="G117" i="3"/>
  <c r="F117" i="3"/>
  <c r="L116" i="3"/>
  <c r="J116" i="3"/>
  <c r="K116" i="3" s="1"/>
  <c r="G116" i="3"/>
  <c r="F116" i="3"/>
  <c r="L115" i="3"/>
  <c r="K115" i="3"/>
  <c r="J115" i="3"/>
  <c r="G115" i="3"/>
  <c r="F115" i="3"/>
  <c r="L114" i="3"/>
  <c r="J114" i="3"/>
  <c r="K114" i="3" s="1"/>
  <c r="G114" i="3"/>
  <c r="F114" i="3"/>
  <c r="K113" i="3"/>
  <c r="J113" i="3"/>
  <c r="L113" i="3" s="1"/>
  <c r="G113" i="3"/>
  <c r="F113" i="3"/>
  <c r="J112" i="3"/>
  <c r="L112" i="3" s="1"/>
  <c r="G112" i="3"/>
  <c r="F112" i="3"/>
  <c r="L111" i="3"/>
  <c r="K111" i="3"/>
  <c r="J111" i="3"/>
  <c r="G111" i="3"/>
  <c r="F111" i="3"/>
  <c r="L110" i="3"/>
  <c r="J110" i="3"/>
  <c r="K110" i="3" s="1"/>
  <c r="G110" i="3"/>
  <c r="F110" i="3"/>
  <c r="K109" i="3"/>
  <c r="J109" i="3"/>
  <c r="L109" i="3" s="1"/>
  <c r="G109" i="3"/>
  <c r="F109" i="3"/>
  <c r="L108" i="3"/>
  <c r="J108" i="3"/>
  <c r="K108" i="3" s="1"/>
  <c r="G108" i="3"/>
  <c r="F108" i="3"/>
  <c r="J107" i="3"/>
  <c r="L107" i="3" s="1"/>
  <c r="G107" i="3"/>
  <c r="F107" i="3"/>
  <c r="J106" i="3"/>
  <c r="K106" i="3" s="1"/>
  <c r="G106" i="3"/>
  <c r="F106" i="3"/>
  <c r="J105" i="3"/>
  <c r="L105" i="3" s="1"/>
  <c r="G105" i="3"/>
  <c r="F105" i="3"/>
  <c r="J104" i="3"/>
  <c r="L104" i="3" s="1"/>
  <c r="G104" i="3"/>
  <c r="F104" i="3"/>
  <c r="J103" i="3"/>
  <c r="L103" i="3" s="1"/>
  <c r="G103" i="3"/>
  <c r="F103" i="3"/>
  <c r="J102" i="3"/>
  <c r="K102" i="3" s="1"/>
  <c r="G102" i="3"/>
  <c r="F102" i="3"/>
  <c r="J101" i="3"/>
  <c r="L101" i="3" s="1"/>
  <c r="G101" i="3"/>
  <c r="F101" i="3"/>
  <c r="J100" i="3"/>
  <c r="K100" i="3" s="1"/>
  <c r="G100" i="3"/>
  <c r="F100" i="3"/>
  <c r="J99" i="3"/>
  <c r="L99" i="3" s="1"/>
  <c r="G99" i="3"/>
  <c r="F99" i="3"/>
  <c r="J98" i="3"/>
  <c r="K98" i="3" s="1"/>
  <c r="G98" i="3"/>
  <c r="F98" i="3"/>
  <c r="J97" i="3"/>
  <c r="L97" i="3" s="1"/>
  <c r="G97" i="3"/>
  <c r="F97" i="3"/>
  <c r="J96" i="3"/>
  <c r="L96" i="3" s="1"/>
  <c r="G96" i="3"/>
  <c r="F96" i="3"/>
  <c r="J95" i="3"/>
  <c r="L95" i="3" s="1"/>
  <c r="G95" i="3"/>
  <c r="F95" i="3"/>
  <c r="J94" i="3"/>
  <c r="K94" i="3" s="1"/>
  <c r="G94" i="3"/>
  <c r="F94" i="3"/>
  <c r="J93" i="3"/>
  <c r="L93" i="3" s="1"/>
  <c r="G93" i="3"/>
  <c r="F93" i="3"/>
  <c r="J92" i="3"/>
  <c r="K92" i="3" s="1"/>
  <c r="G92" i="3"/>
  <c r="F92" i="3"/>
  <c r="L91" i="3"/>
  <c r="K91" i="3"/>
  <c r="J91" i="3"/>
  <c r="G91" i="3"/>
  <c r="F91" i="3"/>
  <c r="L90" i="3"/>
  <c r="J90" i="3"/>
  <c r="K90" i="3" s="1"/>
  <c r="G90" i="3"/>
  <c r="F90" i="3"/>
  <c r="K89" i="3"/>
  <c r="J89" i="3"/>
  <c r="L89" i="3" s="1"/>
  <c r="G89" i="3"/>
  <c r="F89" i="3"/>
  <c r="J88" i="3"/>
  <c r="L88" i="3" s="1"/>
  <c r="G88" i="3"/>
  <c r="F88" i="3"/>
  <c r="L87" i="3"/>
  <c r="K87" i="3"/>
  <c r="J87" i="3"/>
  <c r="G87" i="3"/>
  <c r="F87" i="3"/>
  <c r="L86" i="3"/>
  <c r="J86" i="3"/>
  <c r="K86" i="3" s="1"/>
  <c r="G86" i="3"/>
  <c r="F86" i="3"/>
  <c r="L85" i="3"/>
  <c r="J85" i="3"/>
  <c r="K85" i="3" s="1"/>
  <c r="G85" i="3"/>
  <c r="F85" i="3"/>
  <c r="K84" i="3"/>
  <c r="J84" i="3"/>
  <c r="L84" i="3" s="1"/>
  <c r="G84" i="3"/>
  <c r="F84" i="3"/>
  <c r="J83" i="3"/>
  <c r="L83" i="3" s="1"/>
  <c r="G83" i="3"/>
  <c r="F83" i="3"/>
  <c r="L82" i="3"/>
  <c r="K82" i="3"/>
  <c r="J82" i="3"/>
  <c r="G82" i="3"/>
  <c r="F82" i="3"/>
  <c r="L81" i="3"/>
  <c r="J81" i="3"/>
  <c r="K81" i="3" s="1"/>
  <c r="G81" i="3"/>
  <c r="F81" i="3"/>
  <c r="K80" i="3"/>
  <c r="J80" i="3"/>
  <c r="L80" i="3" s="1"/>
  <c r="G80" i="3"/>
  <c r="F80" i="3"/>
  <c r="J79" i="3"/>
  <c r="L79" i="3" s="1"/>
  <c r="G79" i="3"/>
  <c r="F79" i="3"/>
  <c r="L78" i="3"/>
  <c r="K78" i="3"/>
  <c r="J78" i="3"/>
  <c r="G78" i="3"/>
  <c r="F78" i="3"/>
  <c r="L77" i="3"/>
  <c r="J77" i="3"/>
  <c r="K77" i="3" s="1"/>
  <c r="G77" i="3"/>
  <c r="F77" i="3"/>
  <c r="K76" i="3"/>
  <c r="J76" i="3"/>
  <c r="L76" i="3" s="1"/>
  <c r="G76" i="3"/>
  <c r="F76" i="3"/>
  <c r="J75" i="3"/>
  <c r="L75" i="3" s="1"/>
  <c r="G75" i="3"/>
  <c r="F75" i="3"/>
  <c r="L74" i="3"/>
  <c r="K74" i="3"/>
  <c r="J74" i="3"/>
  <c r="G74" i="3"/>
  <c r="F74" i="3"/>
  <c r="L73" i="3"/>
  <c r="J73" i="3"/>
  <c r="K73" i="3" s="1"/>
  <c r="G73" i="3"/>
  <c r="F73" i="3"/>
  <c r="K72" i="3"/>
  <c r="J72" i="3"/>
  <c r="L72" i="3" s="1"/>
  <c r="G72" i="3"/>
  <c r="F72" i="3"/>
  <c r="J71" i="3"/>
  <c r="L71" i="3" s="1"/>
  <c r="G71" i="3"/>
  <c r="F71" i="3"/>
  <c r="L70" i="3"/>
  <c r="K70" i="3"/>
  <c r="J70" i="3"/>
  <c r="G70" i="3"/>
  <c r="F70" i="3"/>
  <c r="L69" i="3"/>
  <c r="J69" i="3"/>
  <c r="K69" i="3" s="1"/>
  <c r="G69" i="3"/>
  <c r="F69" i="3"/>
  <c r="K68" i="3"/>
  <c r="J68" i="3"/>
  <c r="L68" i="3" s="1"/>
  <c r="G68" i="3"/>
  <c r="F68" i="3"/>
  <c r="J67" i="3"/>
  <c r="L67" i="3" s="1"/>
  <c r="G67" i="3"/>
  <c r="F67" i="3"/>
  <c r="L66" i="3"/>
  <c r="K66" i="3"/>
  <c r="J66" i="3"/>
  <c r="G66" i="3"/>
  <c r="F66" i="3"/>
  <c r="L65" i="3"/>
  <c r="J65" i="3"/>
  <c r="K65" i="3" s="1"/>
  <c r="G65" i="3"/>
  <c r="F65" i="3"/>
  <c r="J64" i="3"/>
  <c r="L64" i="3" s="1"/>
  <c r="G64" i="3"/>
  <c r="F64" i="3"/>
  <c r="J63" i="3"/>
  <c r="L63" i="3" s="1"/>
  <c r="G63" i="3"/>
  <c r="F63" i="3"/>
  <c r="J62" i="3"/>
  <c r="L62" i="3" s="1"/>
  <c r="G62" i="3"/>
  <c r="F62" i="3"/>
  <c r="J61" i="3"/>
  <c r="K61" i="3" s="1"/>
  <c r="G61" i="3"/>
  <c r="F61" i="3"/>
  <c r="J60" i="3"/>
  <c r="L60" i="3" s="1"/>
  <c r="G60" i="3"/>
  <c r="F60" i="3"/>
  <c r="J59" i="3"/>
  <c r="L59" i="3" s="1"/>
  <c r="G59" i="3"/>
  <c r="F59" i="3"/>
  <c r="J58" i="3"/>
  <c r="L58" i="3" s="1"/>
  <c r="G58" i="3"/>
  <c r="F58" i="3"/>
  <c r="J57" i="3"/>
  <c r="K57" i="3" s="1"/>
  <c r="G57" i="3"/>
  <c r="F57" i="3"/>
  <c r="J56" i="3"/>
  <c r="L56" i="3" s="1"/>
  <c r="G56" i="3"/>
  <c r="F56" i="3"/>
  <c r="J55" i="3"/>
  <c r="L55" i="3" s="1"/>
  <c r="G55" i="3"/>
  <c r="F55" i="3"/>
  <c r="L54" i="3"/>
  <c r="K54" i="3"/>
  <c r="J54" i="3"/>
  <c r="G54" i="3"/>
  <c r="F54" i="3"/>
  <c r="L53" i="3"/>
  <c r="J53" i="3"/>
  <c r="K53" i="3" s="1"/>
  <c r="G53" i="3"/>
  <c r="F53" i="3"/>
  <c r="J52" i="3"/>
  <c r="L52" i="3" s="1"/>
  <c r="G52" i="3"/>
  <c r="F52" i="3"/>
  <c r="J51" i="3"/>
  <c r="L51" i="3" s="1"/>
  <c r="G51" i="3"/>
  <c r="F51" i="3"/>
  <c r="L50" i="3"/>
  <c r="K50" i="3"/>
  <c r="J50" i="3"/>
  <c r="G50" i="3"/>
  <c r="F50" i="3"/>
  <c r="L49" i="3"/>
  <c r="J49" i="3"/>
  <c r="K49" i="3" s="1"/>
  <c r="G49" i="3"/>
  <c r="F49" i="3"/>
  <c r="J48" i="3"/>
  <c r="L48" i="3" s="1"/>
  <c r="G48" i="3"/>
  <c r="F48" i="3"/>
  <c r="J47" i="3"/>
  <c r="L47" i="3" s="1"/>
  <c r="G47" i="3"/>
  <c r="F47" i="3"/>
  <c r="J46" i="3"/>
  <c r="L46" i="3" s="1"/>
  <c r="G46" i="3"/>
  <c r="F46" i="3"/>
  <c r="J45" i="3"/>
  <c r="K45" i="3" s="1"/>
  <c r="G45" i="3"/>
  <c r="F45" i="3"/>
  <c r="J44" i="3"/>
  <c r="L44" i="3" s="1"/>
  <c r="G44" i="3"/>
  <c r="F44" i="3"/>
  <c r="J43" i="3"/>
  <c r="L43" i="3" s="1"/>
  <c r="G43" i="3"/>
  <c r="F43" i="3"/>
  <c r="J42" i="3"/>
  <c r="L42" i="3" s="1"/>
  <c r="G42" i="3"/>
  <c r="F42" i="3"/>
  <c r="J41" i="3"/>
  <c r="K41" i="3" s="1"/>
  <c r="G41" i="3"/>
  <c r="F41" i="3"/>
  <c r="J40" i="3"/>
  <c r="L40" i="3" s="1"/>
  <c r="G40" i="3"/>
  <c r="F40" i="3"/>
  <c r="J39" i="3"/>
  <c r="L39" i="3" s="1"/>
  <c r="G39" i="3"/>
  <c r="F39" i="3"/>
  <c r="L38" i="3"/>
  <c r="K38" i="3"/>
  <c r="J38" i="3"/>
  <c r="G38" i="3"/>
  <c r="F38" i="3"/>
  <c r="L37" i="3"/>
  <c r="J37" i="3"/>
  <c r="K37" i="3" s="1"/>
  <c r="G37" i="3"/>
  <c r="F37" i="3"/>
  <c r="J36" i="3"/>
  <c r="L36" i="3" s="1"/>
  <c r="G36" i="3"/>
  <c r="F36" i="3"/>
  <c r="J35" i="3"/>
  <c r="L35" i="3" s="1"/>
  <c r="G35" i="3"/>
  <c r="F35" i="3"/>
  <c r="K34" i="3"/>
  <c r="J34" i="3"/>
  <c r="L34" i="3" s="1"/>
  <c r="G34" i="3"/>
  <c r="F34" i="3"/>
  <c r="L33" i="3"/>
  <c r="J33" i="3"/>
  <c r="K33" i="3" s="1"/>
  <c r="G33" i="3"/>
  <c r="F33" i="3"/>
  <c r="J32" i="3"/>
  <c r="L32" i="3" s="1"/>
  <c r="G32" i="3"/>
  <c r="F32" i="3"/>
  <c r="J31" i="3"/>
  <c r="L31" i="3" s="1"/>
  <c r="G31" i="3"/>
  <c r="F31" i="3"/>
  <c r="J30" i="3"/>
  <c r="L30" i="3" s="1"/>
  <c r="G30" i="3"/>
  <c r="F30" i="3"/>
  <c r="J29" i="3"/>
  <c r="K29" i="3" s="1"/>
  <c r="G29" i="3"/>
  <c r="F29" i="3"/>
  <c r="J28" i="3"/>
  <c r="L28" i="3" s="1"/>
  <c r="G28" i="3"/>
  <c r="F28" i="3"/>
  <c r="J27" i="3"/>
  <c r="L27" i="3" s="1"/>
  <c r="G27" i="3"/>
  <c r="F27" i="3"/>
  <c r="L26" i="3"/>
  <c r="J26" i="3"/>
  <c r="K26" i="3" s="1"/>
  <c r="G26" i="3"/>
  <c r="F26" i="3"/>
  <c r="J25" i="3"/>
  <c r="K25" i="3" s="1"/>
  <c r="G25" i="3"/>
  <c r="F25" i="3"/>
  <c r="J24" i="3"/>
  <c r="L24" i="3" s="1"/>
  <c r="G24" i="3"/>
  <c r="F24" i="3"/>
  <c r="J23" i="3"/>
  <c r="L23" i="3" s="1"/>
  <c r="G23" i="3"/>
  <c r="F23" i="3"/>
  <c r="L22" i="3"/>
  <c r="K22" i="3"/>
  <c r="J22" i="3"/>
  <c r="G22" i="3"/>
  <c r="F22" i="3"/>
  <c r="L21" i="3"/>
  <c r="J21" i="3"/>
  <c r="K21" i="3" s="1"/>
  <c r="G21" i="3"/>
  <c r="F21" i="3"/>
  <c r="J20" i="3"/>
  <c r="L20" i="3" s="1"/>
  <c r="G20" i="3"/>
  <c r="F20" i="3"/>
  <c r="J19" i="3"/>
  <c r="K19" i="3" s="1"/>
  <c r="G19" i="3"/>
  <c r="F19" i="3"/>
  <c r="K18" i="3"/>
  <c r="J18" i="3"/>
  <c r="L18" i="3" s="1"/>
  <c r="G18" i="3"/>
  <c r="F18" i="3"/>
  <c r="L17" i="3"/>
  <c r="J17" i="3"/>
  <c r="K17" i="3" s="1"/>
  <c r="G17" i="3"/>
  <c r="F17" i="3"/>
  <c r="J16" i="3"/>
  <c r="L16" i="3" s="1"/>
  <c r="G16" i="3"/>
  <c r="F16" i="3"/>
  <c r="J15" i="3"/>
  <c r="L15" i="3" s="1"/>
  <c r="G15" i="3"/>
  <c r="F15" i="3"/>
  <c r="J14" i="3"/>
  <c r="L14" i="3" s="1"/>
  <c r="G14" i="3"/>
  <c r="F14" i="3"/>
  <c r="J13" i="3"/>
  <c r="K13" i="3" s="1"/>
  <c r="G13" i="3"/>
  <c r="F13" i="3"/>
  <c r="J12" i="3"/>
  <c r="L12" i="3" s="1"/>
  <c r="G12" i="3"/>
  <c r="F12" i="3"/>
  <c r="J11" i="3"/>
  <c r="L11" i="3" s="1"/>
  <c r="G11" i="3"/>
  <c r="F11" i="3"/>
  <c r="L10" i="3"/>
  <c r="J10" i="3"/>
  <c r="K10" i="3" s="1"/>
  <c r="G10" i="3"/>
  <c r="F10" i="3"/>
  <c r="J9" i="3"/>
  <c r="K9" i="3" s="1"/>
  <c r="G9" i="3"/>
  <c r="F9" i="3"/>
  <c r="J8" i="3"/>
  <c r="L8" i="3" s="1"/>
  <c r="G8" i="3"/>
  <c r="F8" i="3"/>
  <c r="J7" i="3"/>
  <c r="L7" i="3" s="1"/>
  <c r="G7" i="3"/>
  <c r="F7" i="3"/>
  <c r="L6" i="3"/>
  <c r="K6" i="3"/>
  <c r="J6" i="3"/>
  <c r="G6" i="3"/>
  <c r="F6" i="3"/>
  <c r="L5" i="3"/>
  <c r="J5" i="3"/>
  <c r="K5" i="3" s="1"/>
  <c r="G5" i="3"/>
  <c r="F5" i="3"/>
  <c r="J4" i="3"/>
  <c r="L4" i="3" s="1"/>
  <c r="G4" i="3"/>
  <c r="F4" i="3"/>
  <c r="J3" i="3"/>
  <c r="L3" i="3" s="1"/>
  <c r="G3" i="3"/>
  <c r="F3" i="3"/>
  <c r="K2" i="3"/>
  <c r="J2" i="3"/>
  <c r="L2" i="3" s="1"/>
  <c r="G2" i="3"/>
  <c r="F2" i="3"/>
  <c r="K132" i="3" l="1"/>
  <c r="L132" i="3"/>
  <c r="K258" i="3"/>
  <c r="L258" i="3"/>
  <c r="L305" i="3"/>
  <c r="K305" i="3"/>
  <c r="L401" i="3"/>
  <c r="K401" i="3"/>
  <c r="L13" i="3"/>
  <c r="K14" i="3"/>
  <c r="L29" i="3"/>
  <c r="K30" i="3"/>
  <c r="L45" i="3"/>
  <c r="K46" i="3"/>
  <c r="L61" i="3"/>
  <c r="K62" i="3"/>
  <c r="L92" i="3"/>
  <c r="K93" i="3"/>
  <c r="L94" i="3"/>
  <c r="K95" i="3"/>
  <c r="K97" i="3"/>
  <c r="L98" i="3"/>
  <c r="K99" i="3"/>
  <c r="L124" i="3"/>
  <c r="K125" i="3"/>
  <c r="L126" i="3"/>
  <c r="K127" i="3"/>
  <c r="K129" i="3"/>
  <c r="L130" i="3"/>
  <c r="K131" i="3"/>
  <c r="L156" i="3"/>
  <c r="K157" i="3"/>
  <c r="L158" i="3"/>
  <c r="K159" i="3"/>
  <c r="K166" i="3"/>
  <c r="L166" i="3"/>
  <c r="L167" i="3"/>
  <c r="L197" i="3"/>
  <c r="K197" i="3"/>
  <c r="K202" i="3"/>
  <c r="L202" i="3"/>
  <c r="L203" i="3"/>
  <c r="L223" i="3"/>
  <c r="K223" i="3"/>
  <c r="L261" i="3"/>
  <c r="K261" i="3"/>
  <c r="L265" i="3"/>
  <c r="K265" i="3"/>
  <c r="K304" i="3"/>
  <c r="L304" i="3"/>
  <c r="L362" i="3"/>
  <c r="K362" i="3"/>
  <c r="L417" i="3"/>
  <c r="K417" i="3"/>
  <c r="L9" i="3"/>
  <c r="L25" i="3"/>
  <c r="L41" i="3"/>
  <c r="K42" i="3"/>
  <c r="L57" i="3"/>
  <c r="K58" i="3"/>
  <c r="L100" i="3"/>
  <c r="K101" i="3"/>
  <c r="L102" i="3"/>
  <c r="K103" i="3"/>
  <c r="K105" i="3"/>
  <c r="L106" i="3"/>
  <c r="K107" i="3"/>
  <c r="K134" i="3"/>
  <c r="L134" i="3"/>
  <c r="L135" i="3"/>
  <c r="L165" i="3"/>
  <c r="K165" i="3"/>
  <c r="K170" i="3"/>
  <c r="L170" i="3"/>
  <c r="L171" i="3"/>
  <c r="K196" i="3"/>
  <c r="L196" i="3"/>
  <c r="L201" i="3"/>
  <c r="K201" i="3"/>
  <c r="K260" i="3"/>
  <c r="L260" i="3"/>
  <c r="K264" i="3"/>
  <c r="L264" i="3"/>
  <c r="L289" i="3"/>
  <c r="K289" i="3"/>
  <c r="L321" i="3"/>
  <c r="K321" i="3"/>
  <c r="K361" i="3"/>
  <c r="L361" i="3"/>
  <c r="L365" i="3"/>
  <c r="K365" i="3"/>
  <c r="L369" i="3"/>
  <c r="K369" i="3"/>
  <c r="L373" i="3"/>
  <c r="K373" i="3"/>
  <c r="L377" i="3"/>
  <c r="K377" i="3"/>
  <c r="L381" i="3"/>
  <c r="K381" i="3"/>
  <c r="L385" i="3"/>
  <c r="K385" i="3"/>
  <c r="L398" i="3"/>
  <c r="K398" i="3"/>
  <c r="L404" i="3"/>
  <c r="K404" i="3"/>
  <c r="L137" i="3"/>
  <c r="K137" i="3"/>
  <c r="K198" i="3"/>
  <c r="L198" i="3"/>
  <c r="L133" i="3"/>
  <c r="K133" i="3"/>
  <c r="K138" i="3"/>
  <c r="L138" i="3"/>
  <c r="K164" i="3"/>
  <c r="L164" i="3"/>
  <c r="L169" i="3"/>
  <c r="K169" i="3"/>
  <c r="L215" i="3"/>
  <c r="K215" i="3"/>
  <c r="L259" i="3"/>
  <c r="K259" i="3"/>
  <c r="L263" i="3"/>
  <c r="K263" i="3"/>
  <c r="K288" i="3"/>
  <c r="L288" i="3"/>
  <c r="K320" i="3"/>
  <c r="L320" i="3"/>
  <c r="K364" i="3"/>
  <c r="L364" i="3"/>
  <c r="K368" i="3"/>
  <c r="L368" i="3"/>
  <c r="K372" i="3"/>
  <c r="L372" i="3"/>
  <c r="K376" i="3"/>
  <c r="L376" i="3"/>
  <c r="K380" i="3"/>
  <c r="L380" i="3"/>
  <c r="K384" i="3"/>
  <c r="L384" i="3"/>
  <c r="L388" i="3"/>
  <c r="K388" i="3"/>
  <c r="L414" i="3"/>
  <c r="K414" i="3"/>
  <c r="L420" i="3"/>
  <c r="K420" i="3"/>
  <c r="K231" i="3"/>
  <c r="K239" i="3"/>
  <c r="L240" i="3"/>
  <c r="K241" i="3"/>
  <c r="L266" i="3"/>
  <c r="K267" i="3"/>
  <c r="L268" i="3"/>
  <c r="K269" i="3"/>
  <c r="K271" i="3"/>
  <c r="L272" i="3"/>
  <c r="K273" i="3"/>
  <c r="L284" i="3"/>
  <c r="K285" i="3"/>
  <c r="L300" i="3"/>
  <c r="K301" i="3"/>
  <c r="L316" i="3"/>
  <c r="K317" i="3"/>
  <c r="L332" i="3"/>
  <c r="K333" i="3"/>
  <c r="L336" i="3"/>
  <c r="K337" i="3"/>
  <c r="L340" i="3"/>
  <c r="K341" i="3"/>
  <c r="L344" i="3"/>
  <c r="K345" i="3"/>
  <c r="L348" i="3"/>
  <c r="K349" i="3"/>
  <c r="L352" i="3"/>
  <c r="K353" i="3"/>
  <c r="L356" i="3"/>
  <c r="K357" i="3"/>
  <c r="K359" i="3"/>
  <c r="K366" i="3"/>
  <c r="K370" i="3"/>
  <c r="K374" i="3"/>
  <c r="K378" i="3"/>
  <c r="K382" i="3"/>
  <c r="K386" i="3"/>
  <c r="L399" i="3"/>
  <c r="K399" i="3"/>
  <c r="K23" i="3"/>
  <c r="K31" i="3"/>
  <c r="K43" i="3"/>
  <c r="K47" i="3"/>
  <c r="K51" i="3"/>
  <c r="K55" i="3"/>
  <c r="K59" i="3"/>
  <c r="K63" i="3"/>
  <c r="K67" i="3"/>
  <c r="K71" i="3"/>
  <c r="K75" i="3"/>
  <c r="K79" i="3"/>
  <c r="K83" i="3"/>
  <c r="K88" i="3"/>
  <c r="K96" i="3"/>
  <c r="K104" i="3"/>
  <c r="K112" i="3"/>
  <c r="K120" i="3"/>
  <c r="K128" i="3"/>
  <c r="K136" i="3"/>
  <c r="K144" i="3"/>
  <c r="K152" i="3"/>
  <c r="K160" i="3"/>
  <c r="K168" i="3"/>
  <c r="K176" i="3"/>
  <c r="K184" i="3"/>
  <c r="K192" i="3"/>
  <c r="K200" i="3"/>
  <c r="K208" i="3"/>
  <c r="L220" i="3"/>
  <c r="L222" i="3"/>
  <c r="L236" i="3"/>
  <c r="L238" i="3"/>
  <c r="L262" i="3"/>
  <c r="K262" i="3"/>
  <c r="K3" i="3"/>
  <c r="K11" i="3"/>
  <c r="K39" i="3"/>
  <c r="K12" i="3"/>
  <c r="L19" i="3"/>
  <c r="K52" i="3"/>
  <c r="K56" i="3"/>
  <c r="L270" i="3"/>
  <c r="K270" i="3"/>
  <c r="L254" i="3"/>
  <c r="K254" i="3"/>
  <c r="L415" i="3"/>
  <c r="K415" i="3"/>
  <c r="K7" i="3"/>
  <c r="K15" i="3"/>
  <c r="K27" i="3"/>
  <c r="K35" i="3"/>
  <c r="K4" i="3"/>
  <c r="K8" i="3"/>
  <c r="K16" i="3"/>
  <c r="K20" i="3"/>
  <c r="K24" i="3"/>
  <c r="K28" i="3"/>
  <c r="K32" i="3"/>
  <c r="K36" i="3"/>
  <c r="K40" i="3"/>
  <c r="K44" i="3"/>
  <c r="K48" i="3"/>
  <c r="K60" i="3"/>
  <c r="K64" i="3"/>
  <c r="L212" i="3"/>
  <c r="L214" i="3"/>
  <c r="L228" i="3"/>
  <c r="L230" i="3"/>
  <c r="L246" i="3"/>
  <c r="L278" i="3"/>
  <c r="K278" i="3"/>
  <c r="L360" i="3"/>
  <c r="K360" i="3"/>
  <c r="L363" i="3"/>
  <c r="K363" i="3"/>
  <c r="L367" i="3"/>
  <c r="K367" i="3"/>
  <c r="L371" i="3"/>
  <c r="K371" i="3"/>
  <c r="L375" i="3"/>
  <c r="K375" i="3"/>
  <c r="L379" i="3"/>
  <c r="K379" i="3"/>
  <c r="L383" i="3"/>
  <c r="K383" i="3"/>
  <c r="L387" i="3"/>
  <c r="K387" i="3"/>
  <c r="L403" i="3"/>
  <c r="K403" i="3"/>
  <c r="L419" i="3"/>
  <c r="K419" i="3"/>
  <c r="L283" i="3"/>
  <c r="K283" i="3"/>
  <c r="L287" i="3"/>
  <c r="K287" i="3"/>
  <c r="L291" i="3"/>
  <c r="K291" i="3"/>
  <c r="L295" i="3"/>
  <c r="K295" i="3"/>
  <c r="L299" i="3"/>
  <c r="K299" i="3"/>
  <c r="L303" i="3"/>
  <c r="K303" i="3"/>
  <c r="L307" i="3"/>
  <c r="K307" i="3"/>
  <c r="L311" i="3"/>
  <c r="K311" i="3"/>
  <c r="L315" i="3"/>
  <c r="K315" i="3"/>
  <c r="L319" i="3"/>
  <c r="K319" i="3"/>
  <c r="L323" i="3"/>
  <c r="K323" i="3"/>
  <c r="L327" i="3"/>
  <c r="K327" i="3"/>
  <c r="L331" i="3"/>
  <c r="K331" i="3"/>
  <c r="L335" i="3"/>
  <c r="K335" i="3"/>
  <c r="L339" i="3"/>
  <c r="K339" i="3"/>
  <c r="L343" i="3"/>
  <c r="K343" i="3"/>
  <c r="L347" i="3"/>
  <c r="K347" i="3"/>
  <c r="L351" i="3"/>
  <c r="K351" i="3"/>
  <c r="L355" i="3"/>
  <c r="K355" i="3"/>
  <c r="L391" i="3"/>
  <c r="K391" i="3"/>
  <c r="L407" i="3"/>
  <c r="K407" i="3"/>
  <c r="L423" i="3"/>
  <c r="K423" i="3"/>
  <c r="K282" i="3"/>
  <c r="K286" i="3"/>
  <c r="K290" i="3"/>
  <c r="K294" i="3"/>
  <c r="K298" i="3"/>
  <c r="K302" i="3"/>
  <c r="K306" i="3"/>
  <c r="K310" i="3"/>
  <c r="K314" i="3"/>
  <c r="K318" i="3"/>
  <c r="K322" i="3"/>
  <c r="K326" i="3"/>
  <c r="K330" i="3"/>
  <c r="L395" i="3"/>
  <c r="K395" i="3"/>
  <c r="L411" i="3"/>
  <c r="K411" i="3"/>
  <c r="L427" i="3"/>
  <c r="K427" i="3"/>
  <c r="D21" i="2" l="1"/>
  <c r="E9" i="2" l="1"/>
  <c r="B18" i="2" l="1"/>
  <c r="B11" i="2" l="1"/>
  <c r="B10" i="2" l="1"/>
  <c r="D9" i="2"/>
</calcChain>
</file>

<file path=xl/sharedStrings.xml><?xml version="1.0" encoding="utf-8"?>
<sst xmlns="http://schemas.openxmlformats.org/spreadsheetml/2006/main" count="1359" uniqueCount="536">
  <si>
    <t>UF1 ABORT</t>
  </si>
  <si>
    <t>UF1 SELECTION</t>
  </si>
  <si>
    <t>QUAN EX STOCK</t>
  </si>
  <si>
    <t>UF2 ABORT</t>
  </si>
  <si>
    <t>CODE - DESCRIPTION</t>
  </si>
  <si>
    <t>UNIT</t>
  </si>
  <si>
    <t>CATEGORY</t>
  </si>
  <si>
    <t>QUAN</t>
  </si>
  <si>
    <t>LTR</t>
  </si>
  <si>
    <t>CONSUMABLES</t>
  </si>
  <si>
    <t>MTR</t>
  </si>
  <si>
    <t>ADJUSTMENT</t>
  </si>
  <si>
    <t>NEW BALANCE</t>
  </si>
  <si>
    <t>UF1 STOCK BATCH</t>
  </si>
  <si>
    <t>UF1 REASON</t>
  </si>
  <si>
    <t>COST EX STOCK</t>
  </si>
  <si>
    <t>DATE &amp; TIME</t>
  </si>
  <si>
    <t>COST</t>
  </si>
  <si>
    <t>UF2 BACK</t>
  </si>
  <si>
    <t>UF3 SELECTION</t>
  </si>
  <si>
    <t>DELETE CODE</t>
  </si>
  <si>
    <t>UF3 STOCK LEVEL</t>
  </si>
  <si>
    <t>UF3 ABORT</t>
  </si>
  <si>
    <t>UF3 DELETED CODE</t>
  </si>
  <si>
    <t>VALUE</t>
  </si>
  <si>
    <t>REORDER</t>
  </si>
  <si>
    <t>MAX</t>
  </si>
  <si>
    <t>RTR</t>
  </si>
  <si>
    <t>R/O QUAN</t>
  </si>
  <si>
    <t>$R/O VALUE EST</t>
  </si>
  <si>
    <t>FREQU IN</t>
  </si>
  <si>
    <t>FREQU OUT</t>
  </si>
  <si>
    <t>DATE</t>
  </si>
  <si>
    <t>EACH</t>
  </si>
  <si>
    <t>UF4 SELECTION</t>
  </si>
  <si>
    <t>UF4 ABORT</t>
  </si>
  <si>
    <t>MANFU CONTROL</t>
  </si>
  <si>
    <t>.xlsm</t>
  </si>
  <si>
    <t>PRODUCT DESCRIPTION</t>
  </si>
  <si>
    <t>SALES CAT</t>
  </si>
  <si>
    <t>CHEMICALS</t>
  </si>
  <si>
    <t>FUEL - DIESEL</t>
  </si>
  <si>
    <t>FUEL</t>
  </si>
  <si>
    <t>FUEL - PETROL</t>
  </si>
  <si>
    <t>LUBRICANTS</t>
  </si>
  <si>
    <t>BLOCK IF ZERO</t>
  </si>
  <si>
    <t>BEARINGS - 30207</t>
  </si>
  <si>
    <t>BEARINGS - 32015</t>
  </si>
  <si>
    <t>BEARINGS - 32214</t>
  </si>
  <si>
    <t>BEARINGS - 33275/33462</t>
  </si>
  <si>
    <t>BEARINGS - 49162/368</t>
  </si>
  <si>
    <t>BEARINGS - 6006-2Z/C3</t>
  </si>
  <si>
    <t>BEARINGS - 6010-ZZC3</t>
  </si>
  <si>
    <t>BEARINGS - 6204ZZ</t>
  </si>
  <si>
    <t>BEARINGS - 6205-ZZC3</t>
  </si>
  <si>
    <t>BEARINGS - 6206Z2C3</t>
  </si>
  <si>
    <t>BEARINGS - 6308ZZE</t>
  </si>
  <si>
    <t>BEARINGS - FKD 30209</t>
  </si>
  <si>
    <t>BEARINGS - K/529/522</t>
  </si>
  <si>
    <t>CATTLE - GLUCOSE POWDER</t>
  </si>
  <si>
    <t>KG</t>
  </si>
  <si>
    <t>CATTLE</t>
  </si>
  <si>
    <t>CATTLE - SNAPCORN</t>
  </si>
  <si>
    <t>CHEM - ATRAZINE</t>
  </si>
  <si>
    <t>HERBICIDE</t>
  </si>
  <si>
    <t>CHEM - BAYTAN</t>
  </si>
  <si>
    <t>CHEM - BRAVO/CHLOROTHALONIL</t>
  </si>
  <si>
    <t>CHEM - CHLOPYRIFOS/DURSBAN</t>
  </si>
  <si>
    <t>CHEM - COPPER OXYCHLORIDE</t>
  </si>
  <si>
    <t>CHEM - DIMETHOATE</t>
  </si>
  <si>
    <t>CHEM - DUAL MAGNUM 960 EC</t>
  </si>
  <si>
    <t>CHEM - FRONTIER OPTIMA</t>
  </si>
  <si>
    <t>CHEM - MANCOZEB</t>
  </si>
  <si>
    <t>CHEM - POLATAB</t>
  </si>
  <si>
    <t>CON - CEMENT PC-15</t>
  </si>
  <si>
    <t>CON - HACKSAW BLADES</t>
  </si>
  <si>
    <t>CON - NAILS  2''</t>
  </si>
  <si>
    <t>CON - OMO WASHING POWDER</t>
  </si>
  <si>
    <t xml:space="preserve">CON - THREAD TAPE </t>
  </si>
  <si>
    <t>CON - TUBE PATCHES (R3)</t>
  </si>
  <si>
    <t xml:space="preserve">CON - TUBE PATCHES (R4)   </t>
  </si>
  <si>
    <t>CON - TUBE PATCHES (R5)</t>
  </si>
  <si>
    <t>FERT - AMMONIUM NITRATE</t>
  </si>
  <si>
    <t>50KG BAG</t>
  </si>
  <si>
    <t>FERTILISER</t>
  </si>
  <si>
    <t>FERT - CALCIUM NITRATE</t>
  </si>
  <si>
    <t>FERT - SINGLE SUPER PHOSPHATE</t>
  </si>
  <si>
    <t>FERT - TOBACCO FERT (10-24-20)</t>
  </si>
  <si>
    <t>FERT - TOBACCO FERT (6-28-23)</t>
  </si>
  <si>
    <t>FILTERS - 5725 DIESEL FILTER BOWL</t>
  </si>
  <si>
    <t>FILTERS - ADG 505</t>
  </si>
  <si>
    <t>FILTERS - ADG 508</t>
  </si>
  <si>
    <t>FILTERS - ADG 543</t>
  </si>
  <si>
    <t>FILTERS - ADG 625</t>
  </si>
  <si>
    <t>FILTERS - ADG 626</t>
  </si>
  <si>
    <t>FILTERS - AT 171854</t>
  </si>
  <si>
    <t>FILTERS - BC 68</t>
  </si>
  <si>
    <t>FILTERS - G1000</t>
  </si>
  <si>
    <t>FILTERS - G1051</t>
  </si>
  <si>
    <t>FILTERS - G629</t>
  </si>
  <si>
    <t>FILTERS - GP 205</t>
  </si>
  <si>
    <t>FILTERS - RE 519626</t>
  </si>
  <si>
    <t>FILTERS - T19044</t>
  </si>
  <si>
    <t>FILTERS - Z230</t>
  </si>
  <si>
    <t>FILTERS - Z34</t>
  </si>
  <si>
    <t>FILTERS - Z66</t>
  </si>
  <si>
    <t>FILTERS - Z72</t>
  </si>
  <si>
    <t>FILTERS - Z95</t>
  </si>
  <si>
    <t>FP - MAIZE</t>
  </si>
  <si>
    <t>FARM PRODUCE</t>
  </si>
  <si>
    <t>LUB - ATF</t>
  </si>
  <si>
    <t>LUB - GP GREASE</t>
  </si>
  <si>
    <t>LUB - HYDRAULIC OIL</t>
  </si>
  <si>
    <t>RAT - GREEN SOAP</t>
  </si>
  <si>
    <t>RATION</t>
  </si>
  <si>
    <t>RAT - NUTRESCO MAHEWU</t>
  </si>
  <si>
    <t>SEALS - 48-70-12</t>
  </si>
  <si>
    <t>SEALS - T01-25-52-01</t>
  </si>
  <si>
    <t>SEALS - T01-48-70-9</t>
  </si>
  <si>
    <t>SEALS - TC-52-85-10</t>
  </si>
  <si>
    <t>SEED</t>
  </si>
  <si>
    <t>SEED - SUGARBEANS</t>
  </si>
  <si>
    <t>DESCRIPTION</t>
  </si>
  <si>
    <t>BANK CHARGES</t>
  </si>
  <si>
    <t>TEST</t>
  </si>
  <si>
    <t>BEARINGS - 222130AK</t>
  </si>
  <si>
    <t>BEARINGS - 3780/20</t>
  </si>
  <si>
    <t>BEARINGS - 5204Z</t>
  </si>
  <si>
    <t>BEARINGS - 5Y25TF</t>
  </si>
  <si>
    <t>BEARINGS - 6201.2ZRC3</t>
  </si>
  <si>
    <t>BEARINGS - 6207</t>
  </si>
  <si>
    <t>BEARINGS - 620722C3</t>
  </si>
  <si>
    <t>BEARINGS - LM48500LA/10 (LM48548)</t>
  </si>
  <si>
    <t>BEARINGS - M84510</t>
  </si>
  <si>
    <t>BEARINGS - UCP211</t>
  </si>
  <si>
    <t>BOLTS - 1" UNC NYLOC NUTS</t>
  </si>
  <si>
    <t>BOLTS - 1" X 5" UNC HT</t>
  </si>
  <si>
    <t>BOLTS - M20 SPRING WASHER</t>
  </si>
  <si>
    <t>BOLTS - M20H/T NUT</t>
  </si>
  <si>
    <t>BOLTS - M20X120H/T BOLT</t>
  </si>
  <si>
    <t>BOLTS - M20X150H/T BOLT</t>
  </si>
  <si>
    <t>BOLTS - M24 SPRING WASHER</t>
  </si>
  <si>
    <t>BOLTS - M24H/T NUT</t>
  </si>
  <si>
    <t>BOLTS - M24X120H/T BOLT</t>
  </si>
  <si>
    <t>BOLTS - M24X150H/T BOLT</t>
  </si>
  <si>
    <t>CATTLE - 40% BLACK SHADE NETTING</t>
  </si>
  <si>
    <t>CATTLE - 80% SHADECLOTH GREEN</t>
  </si>
  <si>
    <t>ROLL</t>
  </si>
  <si>
    <t>CATTLE - ANTHRAX SPORE VACCINE (100ML)</t>
  </si>
  <si>
    <t>CATTLE - BEEF PREMIX (2OKG)</t>
  </si>
  <si>
    <t>CATTLE - BETA-TICK GREASE</t>
  </si>
  <si>
    <t>GRAM</t>
  </si>
  <si>
    <t>CATTLE - BIOCILLIN 150 100ML</t>
  </si>
  <si>
    <t>CATTLE - BRUCELLA S19 (20 DOSES)</t>
  </si>
  <si>
    <t>50ML</t>
  </si>
  <si>
    <t>CATTLE - CALCIUM BOROGLUCONATE (750ML)</t>
  </si>
  <si>
    <t>CATTLE - CHICKEN LITTER</t>
  </si>
  <si>
    <t>CATTLE - COTTON CAKE</t>
  </si>
  <si>
    <t>CATTLE - DECATIX</t>
  </si>
  <si>
    <t>CATTLE - DISPOSABLE-NEEDLES 8 GAUGE</t>
  </si>
  <si>
    <t>CATTLE - ESTRUMATE (20ML)</t>
  </si>
  <si>
    <t>CATTLE - FLUXACUR</t>
  </si>
  <si>
    <t>CATTLE - FORRAY INJECTION (40ML)</t>
  </si>
  <si>
    <t>CATTLE - HITET 20%LA (100ML)</t>
  </si>
  <si>
    <t>CATTLE - HYDROGEN PEROXCIDE (750ML)</t>
  </si>
  <si>
    <t>CATTLE - IMOCHEM 120 (50ML)</t>
  </si>
  <si>
    <t>CATTLE - INTRO VITB COMPLEX (100ML)</t>
  </si>
  <si>
    <t>CATTLE - LIMESTONE FLOUR</t>
  </si>
  <si>
    <t>CATTLE - LIVESTOCK ELECTROLYTE GRANULES</t>
  </si>
  <si>
    <t>CATTLE - LUMBY SKIN VACCINE (100ML) 50 DOSES</t>
  </si>
  <si>
    <t xml:space="preserve">CATTLE - MCP </t>
  </si>
  <si>
    <t>CATTLE - MOLASES</t>
  </si>
  <si>
    <t>CATTLE - NEEDLE 18G DISPOSABLE 100S</t>
  </si>
  <si>
    <t>CATTLE - NOROCLOX</t>
  </si>
  <si>
    <t>TUBE</t>
  </si>
  <si>
    <t>CATTLE - PENSTREP-400LA (100ML)</t>
  </si>
  <si>
    <t>CATTLE - RABIES VACINE (10ML)</t>
  </si>
  <si>
    <t>CATTLE - RDF WINTER LICK</t>
  </si>
  <si>
    <t>CATTLE - RUCENTA VITAMIN B12 (50ML)</t>
  </si>
  <si>
    <t>CATTLE - SALT</t>
  </si>
  <si>
    <t>CATTLE - SALT BLOCKS (60KG)</t>
  </si>
  <si>
    <t>CATTLE - SOLUTION 3.5% LA (500ML)</t>
  </si>
  <si>
    <t>CATTLE - STERILE WATER (10ML)</t>
  </si>
  <si>
    <t>CATTLE - STERILE WATER (40ML)</t>
  </si>
  <si>
    <t>CATTLE - SYRINGE 20ML 40S HEASE</t>
  </si>
  <si>
    <t>CATTLE  -TRIATX STOCK SPRAY (5L)</t>
  </si>
  <si>
    <t>CATTLE - TRICH GUARD (250ML)</t>
  </si>
  <si>
    <t>CATTLE - TRICHOMONAS FOETUS VACCINE (250ML)</t>
  </si>
  <si>
    <t>CATTLE - UREA</t>
  </si>
  <si>
    <t>CATTLE - VITAMIN AD3 (100ML)</t>
  </si>
  <si>
    <t>CATTLE - VITAMIN-E-SELENE (50ML)</t>
  </si>
  <si>
    <t>CHEM - ACETAMIPRID 20 SP (50G)</t>
  </si>
  <si>
    <t>CHEM - ALL BUFF</t>
  </si>
  <si>
    <t>CHEM - AUTHORITY</t>
  </si>
  <si>
    <t>CHEM - BANDIT (1L)</t>
  </si>
  <si>
    <t>CHEM - BENLATE/SPOT ON (100ML)</t>
  </si>
  <si>
    <t>CHEM - BION 60GR</t>
  </si>
  <si>
    <t>CHEM - BLOCKADE SL 20L</t>
  </si>
  <si>
    <t>CHEM - COMMAND / CHLMAZONE</t>
  </si>
  <si>
    <t>CHEM - CRATER / RIDOMIL GOLD</t>
  </si>
  <si>
    <t>CHEM - EDB (20L)</t>
  </si>
  <si>
    <t>CHEM - ETHAPHON-480</t>
  </si>
  <si>
    <t>CHEM - EVITO -T (1L)</t>
  </si>
  <si>
    <t>CHEM - FOMALDEHYDE</t>
  </si>
  <si>
    <t>CHEM - FORTIS K (1L)</t>
  </si>
  <si>
    <t>CHEM - KALACH</t>
  </si>
  <si>
    <t>CHEM - MCPA</t>
  </si>
  <si>
    <t>CHEM - MONOSTEM</t>
  </si>
  <si>
    <t>CHEM - POLABOOST</t>
  </si>
  <si>
    <t>CHEM - PROVE1.92 EC (1L)</t>
  </si>
  <si>
    <t>CHEM - SHAVIT (1L)</t>
  </si>
  <si>
    <t>CHEM - SILWET (1L)</t>
  </si>
  <si>
    <t>CHEM - SPOREKILL  (QUATRO KILL)</t>
  </si>
  <si>
    <t>CHEM - STEWARD (1L)</t>
  </si>
  <si>
    <t>CHEM - UNIQUAT  /  PARAQUAT (1L)</t>
  </si>
  <si>
    <t>CHEM - VOLCANO</t>
  </si>
  <si>
    <t>CON - 2K FAST HARDENER</t>
  </si>
  <si>
    <t>CON - 8 GAUGE WIRE</t>
  </si>
  <si>
    <t>CON - ADAPTER PRESSURE MALE VSP 40MM</t>
  </si>
  <si>
    <t>CON - ALTERNATOR BELT PG489</t>
  </si>
  <si>
    <t>CON - ANGLE IRON RAILS 6M</t>
  </si>
  <si>
    <t>CON - BALING TWINE T2 (2KG)</t>
  </si>
  <si>
    <t>CON - BARREL NIPPLE 15MM GALVANISED</t>
  </si>
  <si>
    <t>CON - BARREL NIPPLE 20MM GLAVANISED</t>
  </si>
  <si>
    <t>CON - BARREL NIPPLE 25MM GALVANISED</t>
  </si>
  <si>
    <t>CON - BATTERY WILLARD 674W</t>
  </si>
  <si>
    <t>CON - BEND PLAIN SB40 A/G 110MM X 95</t>
  </si>
  <si>
    <t>CON - BEND PLAIN UB41 U/G 110MM 1/8</t>
  </si>
  <si>
    <t>CON - BEND PLAIN UB42 110MM 1/4</t>
  </si>
  <si>
    <t>CON - BLEACH (750ML)</t>
  </si>
  <si>
    <t>CON - BLK MC ELBOW 90F 8MM</t>
  </si>
  <si>
    <t>CON - BLK MC RED BUSH</t>
  </si>
  <si>
    <t>CON - BLK WS BARREL NIPPLE 8MM</t>
  </si>
  <si>
    <t>CON - BLK WS SOCKET</t>
  </si>
  <si>
    <t>CON - BODY FILLER LOCAL 1KG</t>
  </si>
  <si>
    <t>CON - BOREHOLE COVER 32MM</t>
  </si>
  <si>
    <t>CON - BRICKFORCE 230MM</t>
  </si>
  <si>
    <t>CON - BUSH REDUCING 25 X 20MM GALV</t>
  </si>
  <si>
    <t>CON - CARRIER BAG</t>
  </si>
  <si>
    <t xml:space="preserve">CON - CEMENT MASONRY </t>
  </si>
  <si>
    <t>CON - CUTTING DISC 9 INCH</t>
  </si>
  <si>
    <t>CON - DAMPCOURSE 9" (230MM)</t>
  </si>
  <si>
    <t>CON - DEFORMED BAR 10MM</t>
  </si>
  <si>
    <t>CON - DEFORMED BAR 16MM</t>
  </si>
  <si>
    <t>CON - DEFORMED BAR 8MM</t>
  </si>
  <si>
    <t>CON - DISC 230 X 6 X 22.2</t>
  </si>
  <si>
    <t>CON - DISC CUTTING 230 X 22.23</t>
  </si>
  <si>
    <t>CON - DRILL BITS MASONARY 4MM</t>
  </si>
  <si>
    <t>CON - DRILL BITS STEEL 10MM</t>
  </si>
  <si>
    <t>CON - DRILL BITS STEEL 4MM</t>
  </si>
  <si>
    <t>CON - DRILL BITS STEEL 6MM</t>
  </si>
  <si>
    <t>CON - DRIVE CHAIN-428 4131A-C25-0000</t>
  </si>
  <si>
    <t>CON - ELBOW 15MM F.F. GALVANISED</t>
  </si>
  <si>
    <t>CON - ELBOW 20MM F-F GALVANISED</t>
  </si>
  <si>
    <t>CON - ENERGY SAVER BULBS 60W</t>
  </si>
  <si>
    <t>CON - EXPLAN METAL 318H-80A 15*40*3*2.5</t>
  </si>
  <si>
    <t>CON - FAN BELT 5.5V 1600</t>
  </si>
  <si>
    <t>CON - FAN BELT A1430A5590000</t>
  </si>
  <si>
    <t>CON - FAN BELT A14390A55 13X1400LI</t>
  </si>
  <si>
    <t>CON - FAN BELT A-1560-A-60</t>
  </si>
  <si>
    <t>CON - FAN BELT A1860</t>
  </si>
  <si>
    <t>CON - FAN BELT A-27OO A105</t>
  </si>
  <si>
    <t>CON - FAN BELT B1160</t>
  </si>
  <si>
    <t>CON - FAN BELT B1160B44-13X2667</t>
  </si>
  <si>
    <t>CON - FAN BELT PG226</t>
  </si>
  <si>
    <t>CON - FLAT BAR RAILS 6M</t>
  </si>
  <si>
    <t>CON - FRONT SPKT 22401A</t>
  </si>
  <si>
    <t>CON - FUEL PIPE D02-1403A</t>
  </si>
  <si>
    <t>CON - GAS 11.5KG OXY TEC CYL</t>
  </si>
  <si>
    <t xml:space="preserve">CON - GAS 8KG ACET TEC CYL </t>
  </si>
  <si>
    <t>CON - GAS CYLINDER 19KG</t>
  </si>
  <si>
    <t>CON - GEAR JF-02-55600</t>
  </si>
  <si>
    <t>CON - GLV MC CF UNION 32MM</t>
  </si>
  <si>
    <t>CON - GLV MC ELBOW 907 25MM</t>
  </si>
  <si>
    <t>CON - GLV MC ELBOW 90MF 32MM</t>
  </si>
  <si>
    <t>CON - GLV MC EQUAL TEE 25MM</t>
  </si>
  <si>
    <t>CON - GLV WS BARREL NIPPLE 25MM</t>
  </si>
  <si>
    <t>CON - GLV WS BARREL NIPPLE 32MM</t>
  </si>
  <si>
    <t>CON - GLV WS SOCKET</t>
  </si>
  <si>
    <t>CON - GLV WS SWAGE NIPPLE 25MM</t>
  </si>
  <si>
    <t>CON - GRINDING DISC 9 INCH</t>
  </si>
  <si>
    <t>CON - HAY BALING TWINE (5KG)</t>
  </si>
  <si>
    <t>CON - HOSE CLAMP 15-24MM</t>
  </si>
  <si>
    <t>CON - HOSE CLAMP 22-32MM</t>
  </si>
  <si>
    <t>CON - HOSE CLAMP 32-44MM</t>
  </si>
  <si>
    <t>CON - IBR 686MM X 0.3 X 360MM</t>
  </si>
  <si>
    <t>CON - INSULATION TAPE</t>
  </si>
  <si>
    <t>CON - JIK (1.5L)</t>
  </si>
  <si>
    <t>CON - L THINNERS 5L</t>
  </si>
  <si>
    <t>CON - LANCING TUBE SS 6M</t>
  </si>
  <si>
    <t>CON - MASKING TAPE ROLL EUROCELL</t>
  </si>
  <si>
    <t>CON - METHYLATED SPIRIT</t>
  </si>
  <si>
    <t>CON - NAILS CORRUGATED IRON</t>
  </si>
  <si>
    <t>CON - NEWSPAPERS 1KG</t>
  </si>
  <si>
    <t>CON - NICK/PLATED BALL COCK 20MM</t>
  </si>
  <si>
    <t xml:space="preserve">CON - NICK/PLATED BALL COCK 25MM </t>
  </si>
  <si>
    <t>CON - NICK/PLATED BALL COCK 32 MM</t>
  </si>
  <si>
    <t>CON - NIPPLE THRD IN PLUG 1/4" M MET</t>
  </si>
  <si>
    <t>CON - PEDROLLO GLYCER P/GAUGE 10 BAR</t>
  </si>
  <si>
    <t>CON - PEDROLLO MR10 PRESSURE GAUGE</t>
  </si>
  <si>
    <t>CON - PLOUGH-BOLTS 10MM</t>
  </si>
  <si>
    <t xml:space="preserve">CON - PTFE THREAD TAPE </t>
  </si>
  <si>
    <t>CON - PUMP PACKING - 8MM</t>
  </si>
  <si>
    <t>CON - PVC GIV 90 ELBOW PLAIN 25MM</t>
  </si>
  <si>
    <t>CON - PVC HDPE ADAPTOR-FI 40X1.1/4</t>
  </si>
  <si>
    <t>CON - PVC HDPE ADAPTOR-MI 32 X 1"</t>
  </si>
  <si>
    <t>CON - PVC HDPE POLYPIPE #10 FLANGED 6M 160MM</t>
  </si>
  <si>
    <t>CON - PVC PBP POLY COUPLING 32MM</t>
  </si>
  <si>
    <t xml:space="preserve">CON - PVC PCP 90 POLY EQUAL TEE 25MM </t>
  </si>
  <si>
    <t>CON - PVC PEP POLY ADAPTIOR MI 32MM</t>
  </si>
  <si>
    <t>CON - PVC PSP DOUBLE SOCKET 25MM</t>
  </si>
  <si>
    <t>CON - PVC PSP DOUBLE SOCKET 75MM</t>
  </si>
  <si>
    <t>CON - PVC SADDLE-4 BOLTS 110 X 1"</t>
  </si>
  <si>
    <t>CON - PVC SOLVENT CEMENT (500ML)</t>
  </si>
  <si>
    <t>CON - PVC SOLVENT CEMENT 500ML</t>
  </si>
  <si>
    <t>CON - PVC VSP VLV SOCKET MI 1S 25MM</t>
  </si>
  <si>
    <t>CON - PVC VSP VLV SOCKET MI 1S 32MM</t>
  </si>
  <si>
    <t>CON - PVC VSP VLV SOCKET MI 1S 40MM</t>
  </si>
  <si>
    <t>CON - PVC VSP VLV SOCKET MI 1S 75MM</t>
  </si>
  <si>
    <t>CON - QD BLACK 1L</t>
  </si>
  <si>
    <t>CON - QD RED OXIDE PRIMER 1L</t>
  </si>
  <si>
    <t>CON - QD RED OXIDE PRIMER 5L</t>
  </si>
  <si>
    <t>CON - QD WHITE 1L</t>
  </si>
  <si>
    <t>CON - R02 ROUND PATCHES</t>
  </si>
  <si>
    <t>CON - R03 ROUND PATCHES</t>
  </si>
  <si>
    <t>CON - R04 ROUND PATCHES</t>
  </si>
  <si>
    <t>CON - R05 ROUND PATCHES</t>
  </si>
  <si>
    <t>CON - REAR SPKT 41241-A25-00</t>
  </si>
  <si>
    <t>CON - RESIN GP 1KG</t>
  </si>
  <si>
    <t>CON - ROLL PIN JF-02.048703</t>
  </si>
  <si>
    <t>CON - SOCKET PLAIN 15MM GALVANISED</t>
  </si>
  <si>
    <t>CON - SOCKET PLAIN 20MM GALV</t>
  </si>
  <si>
    <t>CON - SOCKET PLAIN 25MM GALV</t>
  </si>
  <si>
    <t>CON - SOCKET REDUCTION 20 X 15MM GALV</t>
  </si>
  <si>
    <t>CON - SPLICING KIT 16-25MM</t>
  </si>
  <si>
    <t>CON - SPLICING KIT 6-15MM</t>
  </si>
  <si>
    <t>CON - SPLICING KIT 8-28MM</t>
  </si>
  <si>
    <t>CON - STANDPIPE 15MM X 1M GALVANISED</t>
  </si>
  <si>
    <t>CON - STANDPIPE 20MM X 1M GALVANISED</t>
  </si>
  <si>
    <t>CON - STONE CRUSH RUN</t>
  </si>
  <si>
    <t>CON - STUDDING (M10)</t>
  </si>
  <si>
    <t>CON - STUDDING (M12)</t>
  </si>
  <si>
    <t>CON - STUDDING (M14)</t>
  </si>
  <si>
    <t>CON - TERMINAL BATTERY SINGLE</t>
  </si>
  <si>
    <t>CON - TRIGGERS</t>
  </si>
  <si>
    <t>CON - TUBE  10-100</t>
  </si>
  <si>
    <t>CON - TUBE 2.75-21</t>
  </si>
  <si>
    <t>CON - TUBES BIKE 4-10-18</t>
  </si>
  <si>
    <t>CON - UNDERGROUND PIPE</t>
  </si>
  <si>
    <t>CON - VULCANISING CEMENT (125ML)</t>
  </si>
  <si>
    <t>CON - VULCANISING CEMENT 225ML CV-00</t>
  </si>
  <si>
    <t>ML</t>
  </si>
  <si>
    <t>CON - VULCANISING CEMENT 500ML CV-01</t>
  </si>
  <si>
    <t>CON - WATER PAPER P120</t>
  </si>
  <si>
    <t>CON - WELDING ELECTRODES 3.15MM</t>
  </si>
  <si>
    <t>CON - WELDING ROD CHISA 2.50MM 1KG</t>
  </si>
  <si>
    <t>CON - WELDING ROD CHISA 3.15MM 1KG</t>
  </si>
  <si>
    <t>CON - ZERO 2 PLATE GAS STOVE</t>
  </si>
  <si>
    <t>CON - ZERO HOSE 5M</t>
  </si>
  <si>
    <t>CON - ZERO HOSE CLIPS</t>
  </si>
  <si>
    <t>CON - ZERO T PIECES</t>
  </si>
  <si>
    <t>FARM BRICKS</t>
  </si>
  <si>
    <t>25KG BAG</t>
  </si>
  <si>
    <t>FERT - KUTSAGA FLOAT FERTILIZER (5L)</t>
  </si>
  <si>
    <t>FILTERS - AR50041 FUEL</t>
  </si>
  <si>
    <t>FILTERS - ASSEMBLY D02-1600</t>
  </si>
  <si>
    <t>FILTERS - AT 171853</t>
  </si>
  <si>
    <t>FILTERS - G952</t>
  </si>
  <si>
    <t>FILTERS - RE 504836</t>
  </si>
  <si>
    <t>FILTERS - RE 60021</t>
  </si>
  <si>
    <t>FILTERS - Z75 (P4102 FILTER)</t>
  </si>
  <si>
    <t>FUEL - COAL (55KG PER BARROW)</t>
  </si>
  <si>
    <t>BARROW</t>
  </si>
  <si>
    <t>FUEL - PARAFFIN</t>
  </si>
  <si>
    <t>LUB - ANTIFREEZE (1L)</t>
  </si>
  <si>
    <t>LUB - AXLE -EPX 80W-90</t>
  </si>
  <si>
    <t>LUB - BRAKE FLUID (500ML)</t>
  </si>
  <si>
    <t>LUB - CALTEX EXTENDED LIFE COOLANT (1L)</t>
  </si>
  <si>
    <t>LUB - MOTO MUTI (375ML)</t>
  </si>
  <si>
    <t>LUB - STOP LEAK (375ML)</t>
  </si>
  <si>
    <t>LUB - TECTION 15W-40</t>
  </si>
  <si>
    <t>LUB - TECTION GLOBAL 15W-40</t>
  </si>
  <si>
    <t>OFFICE - BLACK PGI445 CARTRIDGE</t>
  </si>
  <si>
    <t>OFFICE - BLACK PGI512 CARTRIDGE</t>
  </si>
  <si>
    <t>OFFICE - CANON PIXMA MG2540</t>
  </si>
  <si>
    <t>OFFICE - COLOUR CLI446 CARTRIDGE</t>
  </si>
  <si>
    <t>OFFICE - PRINTER USB</t>
  </si>
  <si>
    <t>PACK - HESSIAN WRAPS</t>
  </si>
  <si>
    <t>BUNDLE</t>
  </si>
  <si>
    <t>PACKAGING</t>
  </si>
  <si>
    <t>PACK - TOBACCO PAPER</t>
  </si>
  <si>
    <t>PROTECT - GUMBOOTS BLACK SIZE 10</t>
  </si>
  <si>
    <t>PAIR</t>
  </si>
  <si>
    <t>PROTECTIVE</t>
  </si>
  <si>
    <t>PROTECT - GUMBOOTS BLACK SIZE 8</t>
  </si>
  <si>
    <t>PROTECT - GUMBOOTS BLACK SIZE 9</t>
  </si>
  <si>
    <t>REPAIRS &amp; MAINTENANCE</t>
  </si>
  <si>
    <t>R &amp; M - SHANKS 288335-046</t>
  </si>
  <si>
    <t>R &amp; M - SINGLE RIDGER</t>
  </si>
  <si>
    <t>R &amp; M - VENCE TUDO PLANTER (PA7000)</t>
  </si>
  <si>
    <t>RAT - MEALIE  MEAL (10KG)</t>
  </si>
  <si>
    <t>SEALS - 48-70-10</t>
  </si>
  <si>
    <t>SEED - MAIZE HYBRID SC637 25KG</t>
  </si>
  <si>
    <t>SEED - MAIZE HYBRID SC727</t>
  </si>
  <si>
    <t>SEED - MAIZE PGS65 10KG</t>
  </si>
  <si>
    <t>10KG BAG</t>
  </si>
  <si>
    <t>STAT - A4 BOND PAPER REAM (500 SHEETS)</t>
  </si>
  <si>
    <t>STATIONARY</t>
  </si>
  <si>
    <t>STAT - BALLPOINT PENS</t>
  </si>
  <si>
    <t>STAT - DALA TEDDY WAX CRAYONS JUMBO C 9'S</t>
  </si>
  <si>
    <t>BOX</t>
  </si>
  <si>
    <t>STAT - DELIVERY BOOKS</t>
  </si>
  <si>
    <t>STAT - EXERCISE BOOK A4 8MM F/M 32PG BOND</t>
  </si>
  <si>
    <t>STAT - EXERCISE BOOKS A4 8MM Q/M 32PG BOND</t>
  </si>
  <si>
    <t>STAT - HRE A4 BOND PAPER 5 REAMS</t>
  </si>
  <si>
    <t>STAT - HRE AMOS ANIMAL GLUE STICK</t>
  </si>
  <si>
    <t>STAT - HRE DONOU A4 MULTIPUNCH POCKETS</t>
  </si>
  <si>
    <t>STAT - HRE FOLD BACK CLIPS 19MM</t>
  </si>
  <si>
    <t>STAT - HRE FOLD BACK CLIPS 50MM</t>
  </si>
  <si>
    <t>STAT - HRE HIGHLIGHTER ORANGE</t>
  </si>
  <si>
    <t>STAT - HRE HIGHLIGHTER YELLOW</t>
  </si>
  <si>
    <t>STAT - HRE KANGARO STAPLE REMOVER SRL 45</t>
  </si>
  <si>
    <t>STAT - HRE PILOT CORRECTION TAPE PEN</t>
  </si>
  <si>
    <t>STAT - HRE PRONOTI NEON MEMO CUBE</t>
  </si>
  <si>
    <t>STAT - HRE STAEDTLER SHATTERPROOF RULER</t>
  </si>
  <si>
    <t>STAT - LEXI ALLWRITE PENS BLUE</t>
  </si>
  <si>
    <t>STAT - LEXI ALLWRITE PENS RED</t>
  </si>
  <si>
    <t>STAT - MASKING TAPE</t>
  </si>
  <si>
    <t>STAT  -MIGHTY MARK PENS</t>
  </si>
  <si>
    <t>STAT - ORDER BOOKS</t>
  </si>
  <si>
    <t>STAT - REXEL OFFICE PENCILS HB</t>
  </si>
  <si>
    <t>STAT - RULER PLASTIC 30CM</t>
  </si>
  <si>
    <t>STAT - SHORTHAND NOTEBOOK</t>
  </si>
  <si>
    <t>BEARINGS - UCF 209 TR 4 HOLE FLANGE</t>
  </si>
  <si>
    <t>BEARINGS - UCP205 PILLOW BLOCK</t>
  </si>
  <si>
    <t>CATTLE - GRASS SILAGE 10KG BAG</t>
  </si>
  <si>
    <t>CATTLE - KRYOVITE A-E 100ML</t>
  </si>
  <si>
    <t>CATTLE - MAIZE SILAGE 15KG BAG</t>
  </si>
  <si>
    <t>15KG BAG</t>
  </si>
  <si>
    <t>CHEM - ACCOTAB</t>
  </si>
  <si>
    <t>CHEM - DECANOL</t>
  </si>
  <si>
    <t>CHEM - GLYPHOSATE (ROUNDUP)</t>
  </si>
  <si>
    <t>CHEM - METHAPHOS (TAMARON)</t>
  </si>
  <si>
    <t>CON - 2 WIRE 5/8 RUBBER HOSE R210C</t>
  </si>
  <si>
    <t>CON - 2 WIRE SKIVE COLLARS CX10BD</t>
  </si>
  <si>
    <t>CON - 2 WIRE SKVE COLLARS CX06BD</t>
  </si>
  <si>
    <t>CON - 5/16" BLANK TAIL X05B/T</t>
  </si>
  <si>
    <t>CON - BLADES 288918-006</t>
  </si>
  <si>
    <t>CON - BUSH REDUCING 40 X 32MM GALV</t>
  </si>
  <si>
    <t>CON - CEMCRETE PERMASTOP 25KG</t>
  </si>
  <si>
    <t>CON - CEMCRETE PERMASTOP 5KG</t>
  </si>
  <si>
    <t>CON - COUPLING PVC UNION PRESSURE 50MM</t>
  </si>
  <si>
    <t>CON - CRIMP CHARGE CRI001</t>
  </si>
  <si>
    <t>CON - ECHLIN TR10 CAP</t>
  </si>
  <si>
    <t>CON - EEZI KREEP KRAULY TEST KIT</t>
  </si>
  <si>
    <t>CON - EEZI PH DOWN 500G</t>
  </si>
  <si>
    <t>CON - EEZI PH UP 500G</t>
  </si>
  <si>
    <t>CON - EEZI POOL MONTH TREATMENT 1.2KG</t>
  </si>
  <si>
    <t>CON - EEZI POOL MONTHLY TREATMENT 1.7KG</t>
  </si>
  <si>
    <t>CON - EEZI SHOCK 600G</t>
  </si>
  <si>
    <t>CON - ELBOW PRESSURE PLAIN GIV 40MM</t>
  </si>
  <si>
    <t>CON - FLUSH &amp; REPAIR GENSET RADIATOR</t>
  </si>
  <si>
    <t>CON - GAS CYLINDER 2KG</t>
  </si>
  <si>
    <t>CON - HACKSAW BLADES 15"</t>
  </si>
  <si>
    <t>CON - HOUSE BLOCK BRUSH WHITE WASH</t>
  </si>
  <si>
    <t>CON - HOUSE BOSTICK CAR 280ML</t>
  </si>
  <si>
    <t>CON - HOUSE FLEETLINE DARK TINT 5L</t>
  </si>
  <si>
    <t>CON - JIC FITTING X09J90S06</t>
  </si>
  <si>
    <t>CON - JIC FITTING X10JF06</t>
  </si>
  <si>
    <t>CON - JIC FITTING X14J90S10</t>
  </si>
  <si>
    <t>CON - JIC FITTING X14JF10</t>
  </si>
  <si>
    <t>CON - MSASA 2K FAST HARDENER 1L</t>
  </si>
  <si>
    <t>CON - MSASA 2K WHITE 1L</t>
  </si>
  <si>
    <t>CON - MSASA BODY FILLER LOCAL 1KG</t>
  </si>
  <si>
    <t>CON - MSASA BOSTICK SILICON CAR BLACK 280ML</t>
  </si>
  <si>
    <t>CON - MSASA L THINNERS 5L</t>
  </si>
  <si>
    <t>CON - MSASA MASKING TAPE ROLL EUROCELL</t>
  </si>
  <si>
    <t>CON - MSASA PRODUCTION PAPER NORTON P36/PM</t>
  </si>
  <si>
    <t>CON - MSASA QD BLACK 1L</t>
  </si>
  <si>
    <t>CON - MSASA SPOT PUTTY 250G</t>
  </si>
  <si>
    <t>CON - MSASA WATER PAPER P220</t>
  </si>
  <si>
    <t>CON - MSASA WATER PAPER P320</t>
  </si>
  <si>
    <t>CON - NAILS SAFA 3"</t>
  </si>
  <si>
    <t>CON - NAILS SAFA 4"</t>
  </si>
  <si>
    <t>CON - NAILS SAFA 6"</t>
  </si>
  <si>
    <t>CON - POINTS 288335-034</t>
  </si>
  <si>
    <t>CON - SHANKS 288335-046</t>
  </si>
  <si>
    <t>CON - STOPEND PVC PRESSURE 32MM</t>
  </si>
  <si>
    <t>CON - STOPEND PVC PRESSURE 40MM</t>
  </si>
  <si>
    <t>CON - TANDEM TRIMMER LINE CARD</t>
  </si>
  <si>
    <t>FERT - HIGH C 6-28-23 CEREAL</t>
  </si>
  <si>
    <t>FILTERS - Z33 (PH20 FILTER)</t>
  </si>
  <si>
    <t>FP - MEALIE MEAL</t>
  </si>
  <si>
    <t>PROTECT - GLOVES</t>
  </si>
  <si>
    <t>PROTECT - RAINCAPE CLOSED FRONT LIGHT DUTY 102CM</t>
  </si>
  <si>
    <t>PROTECT - RAINCAPE OPEN FRONT LIGHT DUTY 102CM</t>
  </si>
  <si>
    <t>SEED - GRASS DOMESTIC RECLAIMER</t>
  </si>
  <si>
    <t>CASH SALES</t>
  </si>
  <si>
    <t>COST OF SALES</t>
  </si>
  <si>
    <t>DONATIONS</t>
  </si>
  <si>
    <t>ELECTRICITY &amp; WATER</t>
  </si>
  <si>
    <t>PRINTING &amp; STATIONERY</t>
  </si>
  <si>
    <t>SECURITY</t>
  </si>
  <si>
    <t>SUNDRY INCOME</t>
  </si>
  <si>
    <t>ACCOUNTING FEES</t>
  </si>
  <si>
    <t>BREAKDOWNS</t>
  </si>
  <si>
    <t>CLEANING &amp; TEAS</t>
  </si>
  <si>
    <t>CLEARING FEES</t>
  </si>
  <si>
    <t>CONSULTING FEES</t>
  </si>
  <si>
    <t>DEPRECIATION</t>
  </si>
  <si>
    <t>DIRECTORS EXPENSES</t>
  </si>
  <si>
    <t>DIRECTORS LOANS</t>
  </si>
  <si>
    <t>INSURANCE &amp; LICENCES</t>
  </si>
  <si>
    <t>INTEREST PAID</t>
  </si>
  <si>
    <t>LEGAL FEES</t>
  </si>
  <si>
    <t>PERMITS</t>
  </si>
  <si>
    <t>RENT</t>
  </si>
  <si>
    <t>REPAIRS &amp; MAINTAINANCE</t>
  </si>
  <si>
    <t>STAFF COSTS -  NEC</t>
  </si>
  <si>
    <t>STAFF COSTS - ALLOWANCES</t>
  </si>
  <si>
    <t>STAFF COSTS - LOANS</t>
  </si>
  <si>
    <t>STAFF COSTS - MEDICAL EXPENSES</t>
  </si>
  <si>
    <t>STAFF COSTS - NSSA</t>
  </si>
  <si>
    <t>STAFF COSTS - PAYE</t>
  </si>
  <si>
    <t>STAFF COSTS - PROTECTIVE CLOTHING</t>
  </si>
  <si>
    <t>STAFF COSTS - TRAINING</t>
  </si>
  <si>
    <t>STAFF COSTS - WAGES</t>
  </si>
  <si>
    <t>STAFF COSTS - WELFARE FUNDS</t>
  </si>
  <si>
    <t>SUBSCRIPTIONS</t>
  </si>
  <si>
    <t>TELEPHONE &amp; INTERNET</t>
  </si>
  <si>
    <t>TOLLS</t>
  </si>
  <si>
    <t>TRAVEL &amp; ACCOMODATION</t>
  </si>
  <si>
    <t>WORKSHOP MAINTANCE</t>
  </si>
  <si>
    <t>MISCELLANEOUS</t>
  </si>
  <si>
    <t>SALES REVENUE</t>
  </si>
  <si>
    <t>TRIP SHEET PETTY CASH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</si>
</sst>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&quot;$&quot;#,##0.00_);[Red]\(&quot;$&quot;#,##0.00\)"/>
    <numFmt numFmtId="165" formatCode="d/m/yyyy\ h:mm"/>
    <numFmt numFmtId="166" formatCode="[$-409]d\-mmm\-yy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20">
    <xf numFmtId="0" fontId="0" fillId="0" borderId="0" xfId="0"/>
    <xf numFmtId="0" fontId="1" fillId="0" borderId="0" xfId="0" applyFont="1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40" fontId="0" fillId="0" borderId="0" xfId="0" applyNumberFormat="1" applyAlignment="1">
      <alignment horizontal="center"/>
    </xf>
    <xf numFmtId="40" fontId="0" fillId="0" borderId="0" xfId="0" applyNumberFormat="1"/>
    <xf numFmtId="0" fontId="0" fillId="0" borderId="0" xfId="0" applyAlignment="1">
      <alignment wrapText="1"/>
    </xf>
    <xf numFmtId="165" fontId="0" fillId="0" borderId="0" xfId="0" applyNumberFormat="1" applyAlignment="1">
      <alignment horizontal="center"/>
    </xf>
    <xf numFmtId="164" fontId="1" fillId="0" borderId="0" xfId="0" applyNumberFormat="1" applyFont="1" applyAlignment="1">
      <alignment horizontal="center"/>
    </xf>
    <xf numFmtId="164" fontId="0" fillId="0" borderId="0" xfId="0" applyNumberFormat="1"/>
    <xf numFmtId="166" fontId="0" fillId="0" borderId="0" xfId="0" applyNumberFormat="1" applyAlignment="1">
      <alignment horizontal="center"/>
    </xf>
    <xf numFmtId="164" fontId="0" fillId="0" borderId="0" xfId="0" applyNumberFormat="1" applyAlignment="1">
      <alignment horizontal="right"/>
    </xf>
    <xf numFmtId="0" fontId="1" fillId="0" borderId="0" xfId="0" applyFont="1" applyAlignment="1">
      <alignment horizontal="center" wrapText="1"/>
    </xf>
    <xf numFmtId="0" fontId="0" fillId="0" borderId="0" xfId="0" applyFont="1"/>
    <xf numFmtId="0" fontId="1" fillId="0" borderId="0" xfId="1" applyNumberFormat="1" applyFont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1" applyNumberFormat="1" applyFont="1" applyAlignment="1">
      <alignment horizontal="center"/>
    </xf>
    <xf numFmtId="40" fontId="1" fillId="0" borderId="0" xfId="1" applyNumberFormat="1" applyFont="1" applyAlignment="1">
      <alignment horizontal="center"/>
    </xf>
    <xf numFmtId="40" fontId="0" fillId="0" borderId="0" xfId="1" applyNumberFormat="1" applyFont="1" applyAlignment="1">
      <alignment horizontal="center"/>
    </xf>
    <xf numFmtId="0" fontId="0" fillId="0" borderId="0" xfId="0" applyAlignment="1">
      <alignment vertical="center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showGridLines="0" tabSelected="1" workbookViewId="0">
      <selection activeCell="A3" sqref="A3"/>
    </sheetView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25"/>
  <sheetViews>
    <sheetView workbookViewId="0">
      <selection activeCell="B21" sqref="B21:B22"/>
    </sheetView>
  </sheetViews>
  <sheetFormatPr defaultRowHeight="15" x14ac:dyDescent="0.25"/>
  <cols>
    <col min="1" max="1" width="23" customWidth="1"/>
    <col min="2" max="2" width="45.28515625" customWidth="1"/>
    <col min="3" max="3" width="9.85546875" customWidth="1"/>
    <col min="4" max="4" width="13.85546875" customWidth="1"/>
    <col min="5" max="5" width="12" customWidth="1"/>
  </cols>
  <sheetData>
    <row r="1" spans="1:5" x14ac:dyDescent="0.25">
      <c r="A1" t="s">
        <v>13</v>
      </c>
    </row>
    <row r="2" spans="1:5" x14ac:dyDescent="0.25">
      <c r="A2" t="s">
        <v>1</v>
      </c>
    </row>
    <row r="3" spans="1:5" x14ac:dyDescent="0.25">
      <c r="A3" t="s">
        <v>14</v>
      </c>
      <c r="B3" s="6"/>
    </row>
    <row r="4" spans="1:5" x14ac:dyDescent="0.25">
      <c r="A4" t="s">
        <v>0</v>
      </c>
    </row>
    <row r="5" spans="1:5" x14ac:dyDescent="0.25">
      <c r="A5" t="s">
        <v>3</v>
      </c>
    </row>
    <row r="6" spans="1:5" x14ac:dyDescent="0.25">
      <c r="A6" t="s">
        <v>15</v>
      </c>
      <c r="B6" s="9"/>
    </row>
    <row r="7" spans="1:5" x14ac:dyDescent="0.25">
      <c r="B7" s="2"/>
    </row>
    <row r="8" spans="1:5" x14ac:dyDescent="0.25">
      <c r="A8" t="s">
        <v>2</v>
      </c>
      <c r="B8" s="4"/>
    </row>
    <row r="9" spans="1:5" x14ac:dyDescent="0.25">
      <c r="A9" t="s">
        <v>11</v>
      </c>
      <c r="B9" s="4"/>
      <c r="C9">
        <v>0</v>
      </c>
      <c r="D9" s="5">
        <f>SUM(B9:C9)</f>
        <v>0</v>
      </c>
      <c r="E9" s="5">
        <f>C9-B9</f>
        <v>0</v>
      </c>
    </row>
    <row r="10" spans="1:5" x14ac:dyDescent="0.25">
      <c r="A10" t="s">
        <v>12</v>
      </c>
      <c r="B10" s="4">
        <f>B8+B9</f>
        <v>0</v>
      </c>
    </row>
    <row r="11" spans="1:5" x14ac:dyDescent="0.25">
      <c r="A11" t="s">
        <v>16</v>
      </c>
      <c r="B11" s="7">
        <f ca="1">NOW()</f>
        <v>42422.408857523151</v>
      </c>
    </row>
    <row r="12" spans="1:5" x14ac:dyDescent="0.25">
      <c r="A12" t="s">
        <v>18</v>
      </c>
    </row>
    <row r="13" spans="1:5" x14ac:dyDescent="0.25">
      <c r="B13" s="3" t="s">
        <v>20</v>
      </c>
    </row>
    <row r="14" spans="1:5" x14ac:dyDescent="0.25">
      <c r="A14" t="s">
        <v>19</v>
      </c>
    </row>
    <row r="15" spans="1:5" x14ac:dyDescent="0.25">
      <c r="A15" t="s">
        <v>21</v>
      </c>
    </row>
    <row r="16" spans="1:5" x14ac:dyDescent="0.25">
      <c r="A16" t="s">
        <v>22</v>
      </c>
    </row>
    <row r="17" spans="1:4" x14ac:dyDescent="0.25">
      <c r="A17" t="s">
        <v>23</v>
      </c>
    </row>
    <row r="18" spans="1:4" x14ac:dyDescent="0.25">
      <c r="A18" t="s">
        <v>32</v>
      </c>
      <c r="B18" s="10">
        <f ca="1">TODAY()</f>
        <v>42422</v>
      </c>
    </row>
    <row r="21" spans="1:4" x14ac:dyDescent="0.25">
      <c r="A21" t="s">
        <v>34</v>
      </c>
      <c r="C21" t="s">
        <v>37</v>
      </c>
      <c r="D21" t="str">
        <f>B21&amp;C21</f>
        <v>.xlsm</v>
      </c>
    </row>
    <row r="22" spans="1:4" x14ac:dyDescent="0.25">
      <c r="A22" t="s">
        <v>35</v>
      </c>
    </row>
    <row r="23" spans="1:4" x14ac:dyDescent="0.25">
      <c r="A23" t="s">
        <v>36</v>
      </c>
    </row>
    <row r="24" spans="1:4" x14ac:dyDescent="0.25">
      <c r="A24" t="s">
        <v>38</v>
      </c>
      <c r="B24" t="s">
        <v>124</v>
      </c>
    </row>
    <row r="25" spans="1:4" x14ac:dyDescent="0.25">
      <c r="A25" t="s">
        <v>39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Q427"/>
  <sheetViews>
    <sheetView workbookViewId="0">
      <selection sqref="A1:Q1048576"/>
    </sheetView>
  </sheetViews>
  <sheetFormatPr defaultRowHeight="15" x14ac:dyDescent="0.25"/>
  <cols>
    <col min="1" max="1" width="51.85546875" customWidth="1"/>
    <col min="2" max="2" width="12.42578125" style="3" customWidth="1"/>
    <col min="3" max="3" width="22" style="3" customWidth="1"/>
    <col min="4" max="4" width="13.5703125" style="18" customWidth="1"/>
    <col min="5" max="5" width="14.7109375" style="11" customWidth="1"/>
    <col min="6" max="6" width="17.28515625" style="9" customWidth="1"/>
    <col min="7" max="7" width="18.42578125" style="9" bestFit="1" customWidth="1"/>
    <col min="8" max="8" width="13.85546875" style="3" customWidth="1"/>
    <col min="9" max="9" width="13.7109375" style="3" customWidth="1"/>
    <col min="10" max="11" width="12.7109375" style="3" customWidth="1"/>
    <col min="12" max="12" width="16.85546875" customWidth="1"/>
    <col min="13" max="13" width="14" style="3" customWidth="1"/>
    <col min="14" max="14" width="14.140625" customWidth="1"/>
    <col min="15" max="15" width="13.5703125" style="16" customWidth="1"/>
  </cols>
  <sheetData>
    <row r="1" spans="1:17" x14ac:dyDescent="0.25">
      <c r="A1" s="1" t="s">
        <v>4</v>
      </c>
      <c r="B1" s="1" t="s">
        <v>5</v>
      </c>
      <c r="C1" s="1" t="s">
        <v>6</v>
      </c>
      <c r="D1" s="17" t="s">
        <v>7</v>
      </c>
      <c r="E1" s="8" t="s">
        <v>17</v>
      </c>
      <c r="F1" s="8" t="s">
        <v>24</v>
      </c>
      <c r="G1" s="8" t="s">
        <v>45</v>
      </c>
      <c r="H1" s="1" t="s">
        <v>25</v>
      </c>
      <c r="I1" s="1" t="s">
        <v>26</v>
      </c>
      <c r="J1" s="1" t="s">
        <v>27</v>
      </c>
      <c r="K1" s="1" t="s">
        <v>28</v>
      </c>
      <c r="L1" s="1" t="s">
        <v>29</v>
      </c>
      <c r="M1" s="1" t="s">
        <v>30</v>
      </c>
      <c r="N1" s="1" t="s">
        <v>31</v>
      </c>
      <c r="O1" s="14" t="s">
        <v>7</v>
      </c>
      <c r="P1" s="1"/>
      <c r="Q1" s="1"/>
    </row>
    <row r="2" spans="1:17" x14ac:dyDescent="0.25">
      <c r="A2" t="s">
        <v>125</v>
      </c>
      <c r="B2" s="3" t="s">
        <v>33</v>
      </c>
      <c r="C2" s="3" t="s">
        <v>9</v>
      </c>
      <c r="D2" s="4">
        <v>-9</v>
      </c>
      <c r="E2" s="11">
        <v>100</v>
      </c>
      <c r="F2" s="9">
        <f t="shared" ref="F2:F65" si="0">SUM(D2*E2)</f>
        <v>-900</v>
      </c>
      <c r="G2" s="3" t="str">
        <f t="shared" ref="G2:G65" si="1">IF(E2=0,"BLOCK","")</f>
        <v/>
      </c>
      <c r="H2" s="3">
        <v>0</v>
      </c>
      <c r="I2" s="3">
        <v>0</v>
      </c>
      <c r="J2" s="3" t="str">
        <f t="shared" ref="J2:J65" si="2">IF(H2=0,"",IF(D2&lt;=H2,"1",""))</f>
        <v/>
      </c>
      <c r="K2" s="3" t="str">
        <f t="shared" ref="K2:K65" si="3">IF(J2="","",I2-D2)</f>
        <v/>
      </c>
      <c r="L2" s="9" t="str">
        <f t="shared" ref="L2:L65" si="4">IF(J2="1",(I2-D2)*E2,"")</f>
        <v/>
      </c>
      <c r="N2" s="3">
        <v>19</v>
      </c>
      <c r="O2" s="15">
        <v>1</v>
      </c>
    </row>
    <row r="3" spans="1:17" x14ac:dyDescent="0.25">
      <c r="A3" t="s">
        <v>46</v>
      </c>
      <c r="B3" s="3" t="s">
        <v>33</v>
      </c>
      <c r="C3" s="3" t="s">
        <v>9</v>
      </c>
      <c r="D3" s="4">
        <v>1</v>
      </c>
      <c r="E3" s="11">
        <v>8</v>
      </c>
      <c r="F3" s="9">
        <f t="shared" si="0"/>
        <v>8</v>
      </c>
      <c r="G3" s="3" t="str">
        <f t="shared" si="1"/>
        <v/>
      </c>
      <c r="H3" s="3">
        <v>0</v>
      </c>
      <c r="I3" s="3">
        <v>0</v>
      </c>
      <c r="J3" s="3" t="str">
        <f t="shared" si="2"/>
        <v/>
      </c>
      <c r="K3" s="3" t="str">
        <f t="shared" si="3"/>
        <v/>
      </c>
      <c r="L3" s="9" t="str">
        <f t="shared" si="4"/>
        <v/>
      </c>
      <c r="N3" s="3"/>
      <c r="O3" s="15">
        <v>1</v>
      </c>
    </row>
    <row r="4" spans="1:17" x14ac:dyDescent="0.25">
      <c r="A4" t="s">
        <v>47</v>
      </c>
      <c r="B4" s="3" t="s">
        <v>33</v>
      </c>
      <c r="C4" s="3" t="s">
        <v>9</v>
      </c>
      <c r="D4" s="4">
        <v>2</v>
      </c>
      <c r="E4" s="11">
        <v>20</v>
      </c>
      <c r="F4" s="9">
        <f t="shared" si="0"/>
        <v>40</v>
      </c>
      <c r="G4" s="3" t="str">
        <f t="shared" si="1"/>
        <v/>
      </c>
      <c r="H4" s="3">
        <v>0</v>
      </c>
      <c r="I4" s="3">
        <v>0</v>
      </c>
      <c r="J4" s="3" t="str">
        <f t="shared" si="2"/>
        <v/>
      </c>
      <c r="K4" s="3" t="str">
        <f t="shared" si="3"/>
        <v/>
      </c>
      <c r="L4" s="9" t="str">
        <f t="shared" si="4"/>
        <v/>
      </c>
      <c r="N4" s="3"/>
      <c r="O4" s="15">
        <v>2</v>
      </c>
    </row>
    <row r="5" spans="1:17" x14ac:dyDescent="0.25">
      <c r="A5" t="s">
        <v>48</v>
      </c>
      <c r="B5" s="3" t="s">
        <v>33</v>
      </c>
      <c r="C5" s="3" t="s">
        <v>9</v>
      </c>
      <c r="D5" s="4">
        <v>1</v>
      </c>
      <c r="E5" s="11">
        <v>30</v>
      </c>
      <c r="F5" s="9">
        <f t="shared" si="0"/>
        <v>30</v>
      </c>
      <c r="G5" s="3" t="str">
        <f t="shared" si="1"/>
        <v/>
      </c>
      <c r="H5" s="3">
        <v>0</v>
      </c>
      <c r="I5" s="3">
        <v>0</v>
      </c>
      <c r="J5" s="3" t="str">
        <f t="shared" si="2"/>
        <v/>
      </c>
      <c r="K5" s="3" t="str">
        <f t="shared" si="3"/>
        <v/>
      </c>
      <c r="L5" s="9" t="str">
        <f t="shared" si="4"/>
        <v/>
      </c>
      <c r="N5" s="3"/>
      <c r="O5" s="15">
        <v>1</v>
      </c>
    </row>
    <row r="6" spans="1:17" x14ac:dyDescent="0.25">
      <c r="A6" t="s">
        <v>49</v>
      </c>
      <c r="B6" s="3" t="s">
        <v>33</v>
      </c>
      <c r="C6" s="3" t="s">
        <v>9</v>
      </c>
      <c r="D6" s="4">
        <v>1</v>
      </c>
      <c r="E6" s="11">
        <v>30</v>
      </c>
      <c r="F6" s="9">
        <f t="shared" si="0"/>
        <v>30</v>
      </c>
      <c r="G6" s="3" t="str">
        <f t="shared" si="1"/>
        <v/>
      </c>
      <c r="H6" s="3">
        <v>0</v>
      </c>
      <c r="I6" s="3">
        <v>0</v>
      </c>
      <c r="J6" s="3" t="str">
        <f t="shared" si="2"/>
        <v/>
      </c>
      <c r="K6" s="3" t="str">
        <f t="shared" si="3"/>
        <v/>
      </c>
      <c r="L6" s="9" t="str">
        <f t="shared" si="4"/>
        <v/>
      </c>
      <c r="N6" s="3"/>
      <c r="O6" s="15">
        <v>1</v>
      </c>
    </row>
    <row r="7" spans="1:17" x14ac:dyDescent="0.25">
      <c r="A7" t="s">
        <v>126</v>
      </c>
      <c r="B7" s="3" t="s">
        <v>33</v>
      </c>
      <c r="C7" s="3" t="s">
        <v>9</v>
      </c>
      <c r="D7" s="4">
        <v>1</v>
      </c>
      <c r="E7" s="11">
        <v>20</v>
      </c>
      <c r="F7" s="9">
        <f t="shared" si="0"/>
        <v>20</v>
      </c>
      <c r="G7" s="3" t="str">
        <f t="shared" si="1"/>
        <v/>
      </c>
      <c r="H7" s="3">
        <v>0</v>
      </c>
      <c r="I7" s="3">
        <v>0</v>
      </c>
      <c r="J7" s="3" t="str">
        <f t="shared" si="2"/>
        <v/>
      </c>
      <c r="K7" s="3" t="str">
        <f t="shared" si="3"/>
        <v/>
      </c>
      <c r="L7" s="9" t="str">
        <f t="shared" si="4"/>
        <v/>
      </c>
      <c r="N7" s="3"/>
      <c r="O7" s="15">
        <v>1</v>
      </c>
    </row>
    <row r="8" spans="1:17" x14ac:dyDescent="0.25">
      <c r="A8" t="s">
        <v>50</v>
      </c>
      <c r="B8" s="3" t="s">
        <v>33</v>
      </c>
      <c r="C8" s="3" t="s">
        <v>9</v>
      </c>
      <c r="D8" s="4">
        <v>1</v>
      </c>
      <c r="E8" s="11">
        <v>25</v>
      </c>
      <c r="F8" s="9">
        <f t="shared" si="0"/>
        <v>25</v>
      </c>
      <c r="G8" s="3" t="str">
        <f t="shared" si="1"/>
        <v/>
      </c>
      <c r="H8" s="3">
        <v>0</v>
      </c>
      <c r="I8" s="3">
        <v>0</v>
      </c>
      <c r="J8" s="3" t="str">
        <f t="shared" si="2"/>
        <v/>
      </c>
      <c r="K8" s="3" t="str">
        <f t="shared" si="3"/>
        <v/>
      </c>
      <c r="L8" s="9" t="str">
        <f t="shared" si="4"/>
        <v/>
      </c>
      <c r="N8" s="3"/>
      <c r="O8" s="15">
        <v>1</v>
      </c>
    </row>
    <row r="9" spans="1:17" x14ac:dyDescent="0.25">
      <c r="A9" t="s">
        <v>127</v>
      </c>
      <c r="B9" s="3" t="s">
        <v>33</v>
      </c>
      <c r="C9" s="3" t="s">
        <v>9</v>
      </c>
      <c r="D9" s="4">
        <v>1</v>
      </c>
      <c r="E9" s="11">
        <v>10</v>
      </c>
      <c r="F9" s="9">
        <f t="shared" si="0"/>
        <v>10</v>
      </c>
      <c r="G9" s="3" t="str">
        <f t="shared" si="1"/>
        <v/>
      </c>
      <c r="H9" s="3">
        <v>0</v>
      </c>
      <c r="I9" s="3">
        <v>0</v>
      </c>
      <c r="J9" s="3" t="str">
        <f t="shared" si="2"/>
        <v/>
      </c>
      <c r="K9" s="3" t="str">
        <f t="shared" si="3"/>
        <v/>
      </c>
      <c r="L9" s="9" t="str">
        <f t="shared" si="4"/>
        <v/>
      </c>
      <c r="N9" s="3"/>
      <c r="O9" s="15">
        <v>1</v>
      </c>
    </row>
    <row r="10" spans="1:17" x14ac:dyDescent="0.25">
      <c r="A10" t="s">
        <v>128</v>
      </c>
      <c r="B10" s="3" t="s">
        <v>33</v>
      </c>
      <c r="C10" s="3" t="s">
        <v>9</v>
      </c>
      <c r="D10" s="4">
        <v>2</v>
      </c>
      <c r="E10" s="11">
        <v>10</v>
      </c>
      <c r="F10" s="9">
        <f t="shared" si="0"/>
        <v>20</v>
      </c>
      <c r="G10" s="3" t="str">
        <f t="shared" si="1"/>
        <v/>
      </c>
      <c r="H10" s="3">
        <v>0</v>
      </c>
      <c r="I10" s="3">
        <v>0</v>
      </c>
      <c r="J10" s="3" t="str">
        <f t="shared" si="2"/>
        <v/>
      </c>
      <c r="K10" s="3" t="str">
        <f t="shared" si="3"/>
        <v/>
      </c>
      <c r="L10" s="9" t="str">
        <f t="shared" si="4"/>
        <v/>
      </c>
      <c r="N10" s="3"/>
      <c r="O10" s="15">
        <v>2</v>
      </c>
    </row>
    <row r="11" spans="1:17" x14ac:dyDescent="0.25">
      <c r="A11" t="s">
        <v>51</v>
      </c>
      <c r="B11" s="3" t="s">
        <v>33</v>
      </c>
      <c r="C11" s="3" t="s">
        <v>9</v>
      </c>
      <c r="D11" s="4">
        <v>10</v>
      </c>
      <c r="E11" s="11">
        <v>8</v>
      </c>
      <c r="F11" s="9">
        <f t="shared" si="0"/>
        <v>80</v>
      </c>
      <c r="G11" s="3" t="str">
        <f t="shared" si="1"/>
        <v/>
      </c>
      <c r="H11" s="3">
        <v>0</v>
      </c>
      <c r="I11" s="3">
        <v>0</v>
      </c>
      <c r="J11" s="3" t="str">
        <f t="shared" si="2"/>
        <v/>
      </c>
      <c r="K11" s="3" t="str">
        <f t="shared" si="3"/>
        <v/>
      </c>
      <c r="L11" s="9" t="str">
        <f t="shared" si="4"/>
        <v/>
      </c>
      <c r="N11" s="3"/>
      <c r="O11" s="15">
        <v>10</v>
      </c>
    </row>
    <row r="12" spans="1:17" x14ac:dyDescent="0.25">
      <c r="A12" t="s">
        <v>52</v>
      </c>
      <c r="B12" s="3" t="s">
        <v>33</v>
      </c>
      <c r="C12" s="3" t="s">
        <v>9</v>
      </c>
      <c r="D12" s="4">
        <v>3</v>
      </c>
      <c r="E12" s="11">
        <v>20</v>
      </c>
      <c r="F12" s="9">
        <f t="shared" si="0"/>
        <v>60</v>
      </c>
      <c r="G12" s="3" t="str">
        <f t="shared" si="1"/>
        <v/>
      </c>
      <c r="H12" s="3">
        <v>0</v>
      </c>
      <c r="I12" s="3">
        <v>0</v>
      </c>
      <c r="J12" s="3" t="str">
        <f t="shared" si="2"/>
        <v/>
      </c>
      <c r="K12" s="3" t="str">
        <f t="shared" si="3"/>
        <v/>
      </c>
      <c r="L12" s="9" t="str">
        <f t="shared" si="4"/>
        <v/>
      </c>
      <c r="N12" s="3"/>
      <c r="O12" s="15">
        <v>3</v>
      </c>
    </row>
    <row r="13" spans="1:17" x14ac:dyDescent="0.25">
      <c r="A13" t="s">
        <v>129</v>
      </c>
      <c r="B13" s="3" t="s">
        <v>33</v>
      </c>
      <c r="C13" s="3" t="s">
        <v>9</v>
      </c>
      <c r="D13" s="4">
        <v>4</v>
      </c>
      <c r="E13" s="11">
        <v>10</v>
      </c>
      <c r="F13" s="9">
        <f t="shared" si="0"/>
        <v>40</v>
      </c>
      <c r="G13" s="3" t="str">
        <f t="shared" si="1"/>
        <v/>
      </c>
      <c r="H13" s="3">
        <v>0</v>
      </c>
      <c r="I13" s="3">
        <v>0</v>
      </c>
      <c r="J13" s="3" t="str">
        <f t="shared" si="2"/>
        <v/>
      </c>
      <c r="K13" s="3" t="str">
        <f t="shared" si="3"/>
        <v/>
      </c>
      <c r="L13" s="9" t="str">
        <f t="shared" si="4"/>
        <v/>
      </c>
      <c r="N13" s="3"/>
      <c r="O13" s="15">
        <v>4</v>
      </c>
    </row>
    <row r="14" spans="1:17" x14ac:dyDescent="0.25">
      <c r="A14" t="s">
        <v>53</v>
      </c>
      <c r="B14" s="3" t="s">
        <v>33</v>
      </c>
      <c r="C14" s="3" t="s">
        <v>9</v>
      </c>
      <c r="D14" s="4">
        <v>4</v>
      </c>
      <c r="E14" s="11">
        <v>5</v>
      </c>
      <c r="F14" s="9">
        <f t="shared" si="0"/>
        <v>20</v>
      </c>
      <c r="G14" s="3" t="str">
        <f t="shared" si="1"/>
        <v/>
      </c>
      <c r="H14" s="3">
        <v>0</v>
      </c>
      <c r="I14" s="3">
        <v>0</v>
      </c>
      <c r="J14" s="3" t="str">
        <f t="shared" si="2"/>
        <v/>
      </c>
      <c r="K14" s="3" t="str">
        <f t="shared" si="3"/>
        <v/>
      </c>
      <c r="L14" s="9" t="str">
        <f t="shared" si="4"/>
        <v/>
      </c>
      <c r="N14" s="3">
        <v>1</v>
      </c>
      <c r="O14" s="15">
        <v>5</v>
      </c>
    </row>
    <row r="15" spans="1:17" x14ac:dyDescent="0.25">
      <c r="A15" t="s">
        <v>54</v>
      </c>
      <c r="B15" s="3" t="s">
        <v>33</v>
      </c>
      <c r="C15" s="3" t="s">
        <v>9</v>
      </c>
      <c r="D15" s="4">
        <v>1</v>
      </c>
      <c r="E15" s="11">
        <v>6</v>
      </c>
      <c r="F15" s="9">
        <f t="shared" si="0"/>
        <v>6</v>
      </c>
      <c r="G15" s="3" t="str">
        <f t="shared" si="1"/>
        <v/>
      </c>
      <c r="H15" s="3">
        <v>0</v>
      </c>
      <c r="I15" s="3">
        <v>0</v>
      </c>
      <c r="J15" s="3" t="str">
        <f t="shared" si="2"/>
        <v/>
      </c>
      <c r="K15" s="3" t="str">
        <f t="shared" si="3"/>
        <v/>
      </c>
      <c r="L15" s="9" t="str">
        <f t="shared" si="4"/>
        <v/>
      </c>
      <c r="N15" s="3"/>
      <c r="O15" s="15">
        <v>1</v>
      </c>
    </row>
    <row r="16" spans="1:17" x14ac:dyDescent="0.25">
      <c r="A16" t="s">
        <v>55</v>
      </c>
      <c r="B16" s="3" t="s">
        <v>33</v>
      </c>
      <c r="C16" s="3" t="s">
        <v>9</v>
      </c>
      <c r="D16" s="4">
        <v>1</v>
      </c>
      <c r="E16" s="11">
        <v>10</v>
      </c>
      <c r="F16" s="9">
        <f t="shared" si="0"/>
        <v>10</v>
      </c>
      <c r="G16" s="3" t="str">
        <f t="shared" si="1"/>
        <v/>
      </c>
      <c r="H16" s="3">
        <v>0</v>
      </c>
      <c r="I16" s="3">
        <v>0</v>
      </c>
      <c r="J16" s="3" t="str">
        <f t="shared" si="2"/>
        <v/>
      </c>
      <c r="K16" s="3" t="str">
        <f t="shared" si="3"/>
        <v/>
      </c>
      <c r="L16" s="9" t="str">
        <f t="shared" si="4"/>
        <v/>
      </c>
      <c r="N16" s="3"/>
      <c r="O16" s="15">
        <v>1</v>
      </c>
    </row>
    <row r="17" spans="1:15" x14ac:dyDescent="0.25">
      <c r="A17" t="s">
        <v>130</v>
      </c>
      <c r="B17" s="3" t="s">
        <v>33</v>
      </c>
      <c r="C17" s="3" t="s">
        <v>9</v>
      </c>
      <c r="D17" s="4">
        <v>0</v>
      </c>
      <c r="E17" s="11">
        <v>15</v>
      </c>
      <c r="F17" s="9">
        <f t="shared" si="0"/>
        <v>0</v>
      </c>
      <c r="G17" s="3" t="str">
        <f t="shared" si="1"/>
        <v/>
      </c>
      <c r="H17" s="3">
        <v>0</v>
      </c>
      <c r="I17" s="3">
        <v>0</v>
      </c>
      <c r="J17" s="3" t="str">
        <f t="shared" si="2"/>
        <v/>
      </c>
      <c r="K17" s="3" t="str">
        <f t="shared" si="3"/>
        <v/>
      </c>
      <c r="L17" s="9" t="str">
        <f t="shared" si="4"/>
        <v/>
      </c>
      <c r="N17" s="3">
        <v>1</v>
      </c>
      <c r="O17" s="15">
        <v>1</v>
      </c>
    </row>
    <row r="18" spans="1:15" x14ac:dyDescent="0.25">
      <c r="A18" t="s">
        <v>131</v>
      </c>
      <c r="B18" s="3" t="s">
        <v>33</v>
      </c>
      <c r="C18" s="3" t="s">
        <v>9</v>
      </c>
      <c r="D18" s="4">
        <v>1</v>
      </c>
      <c r="E18" s="11">
        <v>15</v>
      </c>
      <c r="F18" s="9">
        <f t="shared" si="0"/>
        <v>15</v>
      </c>
      <c r="G18" s="3" t="str">
        <f t="shared" si="1"/>
        <v/>
      </c>
      <c r="H18" s="3">
        <v>0</v>
      </c>
      <c r="I18" s="3">
        <v>0</v>
      </c>
      <c r="J18" s="3" t="str">
        <f t="shared" si="2"/>
        <v/>
      </c>
      <c r="K18" s="3" t="str">
        <f t="shared" si="3"/>
        <v/>
      </c>
      <c r="L18" s="9" t="str">
        <f t="shared" si="4"/>
        <v/>
      </c>
      <c r="N18" s="3"/>
      <c r="O18" s="15">
        <v>1</v>
      </c>
    </row>
    <row r="19" spans="1:15" x14ac:dyDescent="0.25">
      <c r="A19" t="s">
        <v>56</v>
      </c>
      <c r="B19" s="3" t="s">
        <v>33</v>
      </c>
      <c r="C19" s="3" t="s">
        <v>9</v>
      </c>
      <c r="D19" s="4">
        <v>1</v>
      </c>
      <c r="E19" s="11">
        <v>25</v>
      </c>
      <c r="F19" s="9">
        <f t="shared" si="0"/>
        <v>25</v>
      </c>
      <c r="G19" s="3" t="str">
        <f t="shared" si="1"/>
        <v/>
      </c>
      <c r="H19" s="3">
        <v>0</v>
      </c>
      <c r="I19" s="3">
        <v>0</v>
      </c>
      <c r="J19" s="3" t="str">
        <f t="shared" si="2"/>
        <v/>
      </c>
      <c r="K19" s="3" t="str">
        <f t="shared" si="3"/>
        <v/>
      </c>
      <c r="L19" s="9" t="str">
        <f t="shared" si="4"/>
        <v/>
      </c>
      <c r="N19" s="3"/>
      <c r="O19" s="15">
        <v>1</v>
      </c>
    </row>
    <row r="20" spans="1:15" x14ac:dyDescent="0.25">
      <c r="A20" t="s">
        <v>57</v>
      </c>
      <c r="B20" s="3" t="s">
        <v>33</v>
      </c>
      <c r="C20" s="3" t="s">
        <v>9</v>
      </c>
      <c r="D20" s="4">
        <v>3</v>
      </c>
      <c r="E20" s="11">
        <v>15</v>
      </c>
      <c r="F20" s="9">
        <f t="shared" si="0"/>
        <v>45</v>
      </c>
      <c r="G20" s="3" t="str">
        <f t="shared" si="1"/>
        <v/>
      </c>
      <c r="H20" s="3">
        <v>0</v>
      </c>
      <c r="I20" s="3">
        <v>0</v>
      </c>
      <c r="J20" s="3" t="str">
        <f t="shared" si="2"/>
        <v/>
      </c>
      <c r="K20" s="3" t="str">
        <f t="shared" si="3"/>
        <v/>
      </c>
      <c r="L20" s="9" t="str">
        <f t="shared" si="4"/>
        <v/>
      </c>
      <c r="N20" s="3"/>
      <c r="O20" s="15">
        <v>3</v>
      </c>
    </row>
    <row r="21" spans="1:15" x14ac:dyDescent="0.25">
      <c r="A21" t="s">
        <v>58</v>
      </c>
      <c r="B21" s="3" t="s">
        <v>33</v>
      </c>
      <c r="C21" s="3" t="s">
        <v>9</v>
      </c>
      <c r="D21" s="4">
        <v>5</v>
      </c>
      <c r="E21" s="11">
        <v>25</v>
      </c>
      <c r="F21" s="9">
        <f t="shared" si="0"/>
        <v>125</v>
      </c>
      <c r="G21" s="3" t="str">
        <f t="shared" si="1"/>
        <v/>
      </c>
      <c r="H21" s="3">
        <v>0</v>
      </c>
      <c r="I21" s="3">
        <v>0</v>
      </c>
      <c r="J21" s="3" t="str">
        <f t="shared" si="2"/>
        <v/>
      </c>
      <c r="K21" s="3" t="str">
        <f t="shared" si="3"/>
        <v/>
      </c>
      <c r="L21" s="9" t="str">
        <f t="shared" si="4"/>
        <v/>
      </c>
      <c r="N21" s="3"/>
      <c r="O21" s="15">
        <v>5</v>
      </c>
    </row>
    <row r="22" spans="1:15" x14ac:dyDescent="0.25">
      <c r="A22" t="s">
        <v>132</v>
      </c>
      <c r="B22" s="3" t="s">
        <v>33</v>
      </c>
      <c r="C22" s="3" t="s">
        <v>9</v>
      </c>
      <c r="D22" s="4">
        <v>2</v>
      </c>
      <c r="E22" s="11">
        <v>10</v>
      </c>
      <c r="F22" s="9">
        <f t="shared" si="0"/>
        <v>20</v>
      </c>
      <c r="G22" s="3" t="str">
        <f t="shared" si="1"/>
        <v/>
      </c>
      <c r="H22" s="3">
        <v>0</v>
      </c>
      <c r="I22" s="3">
        <v>0</v>
      </c>
      <c r="J22" s="3" t="str">
        <f t="shared" si="2"/>
        <v/>
      </c>
      <c r="K22" s="3" t="str">
        <f t="shared" si="3"/>
        <v/>
      </c>
      <c r="L22" s="9" t="str">
        <f t="shared" si="4"/>
        <v/>
      </c>
      <c r="N22" s="3"/>
      <c r="O22" s="15">
        <v>2</v>
      </c>
    </row>
    <row r="23" spans="1:15" x14ac:dyDescent="0.25">
      <c r="A23" t="s">
        <v>133</v>
      </c>
      <c r="B23" s="3" t="s">
        <v>33</v>
      </c>
      <c r="C23" s="3" t="s">
        <v>9</v>
      </c>
      <c r="D23" s="4">
        <v>1</v>
      </c>
      <c r="E23" s="11">
        <v>10</v>
      </c>
      <c r="F23" s="9">
        <f t="shared" si="0"/>
        <v>10</v>
      </c>
      <c r="G23" s="3" t="str">
        <f t="shared" si="1"/>
        <v/>
      </c>
      <c r="H23" s="3">
        <v>0</v>
      </c>
      <c r="I23" s="3">
        <v>0</v>
      </c>
      <c r="J23" s="3" t="str">
        <f t="shared" si="2"/>
        <v/>
      </c>
      <c r="K23" s="3" t="str">
        <f t="shared" si="3"/>
        <v/>
      </c>
      <c r="L23" s="9" t="str">
        <f t="shared" si="4"/>
        <v/>
      </c>
      <c r="N23" s="3"/>
      <c r="O23" s="15">
        <v>1</v>
      </c>
    </row>
    <row r="24" spans="1:15" x14ac:dyDescent="0.25">
      <c r="A24" t="s">
        <v>433</v>
      </c>
      <c r="B24" s="3" t="s">
        <v>33</v>
      </c>
      <c r="C24" s="3" t="s">
        <v>9</v>
      </c>
      <c r="D24" s="4">
        <v>1</v>
      </c>
      <c r="E24" s="11">
        <v>14.68</v>
      </c>
      <c r="F24" s="9">
        <f t="shared" si="0"/>
        <v>14.68</v>
      </c>
      <c r="G24" s="3" t="str">
        <f t="shared" si="1"/>
        <v/>
      </c>
      <c r="J24" s="3" t="str">
        <f t="shared" si="2"/>
        <v/>
      </c>
      <c r="K24" s="3" t="str">
        <f t="shared" si="3"/>
        <v/>
      </c>
      <c r="L24" s="9" t="str">
        <f t="shared" si="4"/>
        <v/>
      </c>
      <c r="M24" s="3">
        <v>1</v>
      </c>
      <c r="N24" s="3">
        <v>3</v>
      </c>
      <c r="O24" s="15">
        <v>0</v>
      </c>
    </row>
    <row r="25" spans="1:15" x14ac:dyDescent="0.25">
      <c r="A25" t="s">
        <v>434</v>
      </c>
      <c r="B25" s="3" t="s">
        <v>33</v>
      </c>
      <c r="C25" s="3" t="s">
        <v>9</v>
      </c>
      <c r="D25" s="4">
        <v>1</v>
      </c>
      <c r="E25" s="11">
        <v>8.6999999999999993</v>
      </c>
      <c r="F25" s="9">
        <f t="shared" si="0"/>
        <v>8.6999999999999993</v>
      </c>
      <c r="G25" s="3" t="str">
        <f t="shared" si="1"/>
        <v/>
      </c>
      <c r="J25" s="3" t="str">
        <f t="shared" si="2"/>
        <v/>
      </c>
      <c r="K25" s="3" t="str">
        <f t="shared" si="3"/>
        <v/>
      </c>
      <c r="L25" s="9" t="str">
        <f t="shared" si="4"/>
        <v/>
      </c>
      <c r="M25" s="3">
        <v>1</v>
      </c>
      <c r="N25" s="3">
        <v>1</v>
      </c>
      <c r="O25" s="15">
        <v>0</v>
      </c>
    </row>
    <row r="26" spans="1:15" x14ac:dyDescent="0.25">
      <c r="A26" t="s">
        <v>134</v>
      </c>
      <c r="B26" s="3" t="s">
        <v>33</v>
      </c>
      <c r="C26" s="3" t="s">
        <v>9</v>
      </c>
      <c r="D26" s="4">
        <v>5</v>
      </c>
      <c r="E26" s="11">
        <v>40</v>
      </c>
      <c r="F26" s="9">
        <f t="shared" si="0"/>
        <v>200</v>
      </c>
      <c r="G26" s="3" t="str">
        <f t="shared" si="1"/>
        <v/>
      </c>
      <c r="H26" s="3">
        <v>0</v>
      </c>
      <c r="I26" s="3">
        <v>0</v>
      </c>
      <c r="J26" s="3" t="str">
        <f t="shared" si="2"/>
        <v/>
      </c>
      <c r="K26" s="3" t="str">
        <f t="shared" si="3"/>
        <v/>
      </c>
      <c r="L26" s="9" t="str">
        <f t="shared" si="4"/>
        <v/>
      </c>
      <c r="N26" s="3"/>
      <c r="O26" s="15">
        <v>5</v>
      </c>
    </row>
    <row r="27" spans="1:15" x14ac:dyDescent="0.25">
      <c r="A27" t="s">
        <v>135</v>
      </c>
      <c r="B27" s="3" t="s">
        <v>33</v>
      </c>
      <c r="C27" s="3" t="s">
        <v>9</v>
      </c>
      <c r="D27" s="4">
        <v>8</v>
      </c>
      <c r="E27" s="11">
        <v>2.13</v>
      </c>
      <c r="F27" s="9">
        <f t="shared" si="0"/>
        <v>17.04</v>
      </c>
      <c r="G27" s="3" t="str">
        <f t="shared" si="1"/>
        <v/>
      </c>
      <c r="J27" s="3" t="str">
        <f t="shared" si="2"/>
        <v/>
      </c>
      <c r="K27" s="3" t="str">
        <f t="shared" si="3"/>
        <v/>
      </c>
      <c r="L27" s="9" t="str">
        <f t="shared" si="4"/>
        <v/>
      </c>
      <c r="M27" s="3">
        <v>2</v>
      </c>
      <c r="N27" s="3"/>
      <c r="O27" s="15">
        <v>0</v>
      </c>
    </row>
    <row r="28" spans="1:15" x14ac:dyDescent="0.25">
      <c r="A28" t="s">
        <v>136</v>
      </c>
      <c r="B28" s="3" t="s">
        <v>33</v>
      </c>
      <c r="C28" s="3" t="s">
        <v>9</v>
      </c>
      <c r="D28" s="4">
        <v>8</v>
      </c>
      <c r="E28" s="11">
        <v>4.29</v>
      </c>
      <c r="F28" s="9">
        <f t="shared" si="0"/>
        <v>34.32</v>
      </c>
      <c r="G28" s="3" t="str">
        <f t="shared" si="1"/>
        <v/>
      </c>
      <c r="J28" s="3" t="str">
        <f t="shared" si="2"/>
        <v/>
      </c>
      <c r="K28" s="3" t="str">
        <f t="shared" si="3"/>
        <v/>
      </c>
      <c r="L28" s="9" t="str">
        <f t="shared" si="4"/>
        <v/>
      </c>
      <c r="M28" s="3">
        <v>2</v>
      </c>
      <c r="N28" s="3"/>
      <c r="O28" s="15">
        <v>0</v>
      </c>
    </row>
    <row r="29" spans="1:15" x14ac:dyDescent="0.25">
      <c r="A29" t="s">
        <v>137</v>
      </c>
      <c r="B29" s="3" t="s">
        <v>33</v>
      </c>
      <c r="C29" s="3" t="s">
        <v>9</v>
      </c>
      <c r="D29" s="4">
        <v>20</v>
      </c>
      <c r="E29" s="11">
        <v>0.18049999999999999</v>
      </c>
      <c r="F29" s="9">
        <f t="shared" si="0"/>
        <v>3.61</v>
      </c>
      <c r="G29" s="3" t="str">
        <f t="shared" si="1"/>
        <v/>
      </c>
      <c r="J29" s="3" t="str">
        <f t="shared" si="2"/>
        <v/>
      </c>
      <c r="K29" s="3" t="str">
        <f t="shared" si="3"/>
        <v/>
      </c>
      <c r="L29" s="9" t="str">
        <f t="shared" si="4"/>
        <v/>
      </c>
      <c r="M29" s="3">
        <v>1</v>
      </c>
      <c r="N29" s="3"/>
      <c r="O29" s="15">
        <v>0</v>
      </c>
    </row>
    <row r="30" spans="1:15" x14ac:dyDescent="0.25">
      <c r="A30" t="s">
        <v>138</v>
      </c>
      <c r="B30" s="3" t="s">
        <v>33</v>
      </c>
      <c r="C30" s="3" t="s">
        <v>9</v>
      </c>
      <c r="D30" s="4">
        <v>20</v>
      </c>
      <c r="E30" s="11">
        <v>0.36099999999999999</v>
      </c>
      <c r="F30" s="9">
        <f t="shared" si="0"/>
        <v>7.22</v>
      </c>
      <c r="G30" s="3" t="str">
        <f t="shared" si="1"/>
        <v/>
      </c>
      <c r="J30" s="3" t="str">
        <f t="shared" si="2"/>
        <v/>
      </c>
      <c r="K30" s="3" t="str">
        <f t="shared" si="3"/>
        <v/>
      </c>
      <c r="L30" s="9" t="str">
        <f t="shared" si="4"/>
        <v/>
      </c>
      <c r="M30" s="3">
        <v>1</v>
      </c>
      <c r="N30" s="3"/>
      <c r="O30" s="15">
        <v>0</v>
      </c>
    </row>
    <row r="31" spans="1:15" x14ac:dyDescent="0.25">
      <c r="A31" t="s">
        <v>139</v>
      </c>
      <c r="B31" s="3" t="s">
        <v>33</v>
      </c>
      <c r="C31" s="3" t="s">
        <v>9</v>
      </c>
      <c r="D31" s="4">
        <v>10</v>
      </c>
      <c r="E31" s="11">
        <v>1.6719999999999999</v>
      </c>
      <c r="F31" s="9">
        <f t="shared" si="0"/>
        <v>16.72</v>
      </c>
      <c r="G31" s="3" t="str">
        <f t="shared" si="1"/>
        <v/>
      </c>
      <c r="J31" s="3" t="str">
        <f t="shared" si="2"/>
        <v/>
      </c>
      <c r="K31" s="3" t="str">
        <f t="shared" si="3"/>
        <v/>
      </c>
      <c r="L31" s="9" t="str">
        <f t="shared" si="4"/>
        <v/>
      </c>
      <c r="M31" s="3">
        <v>1</v>
      </c>
      <c r="N31" s="3"/>
      <c r="O31" s="15">
        <v>0</v>
      </c>
    </row>
    <row r="32" spans="1:15" x14ac:dyDescent="0.25">
      <c r="A32" t="s">
        <v>140</v>
      </c>
      <c r="B32" s="3" t="s">
        <v>33</v>
      </c>
      <c r="C32" s="3" t="s">
        <v>9</v>
      </c>
      <c r="D32" s="4">
        <v>10</v>
      </c>
      <c r="E32" s="11">
        <v>2.1280000000000001</v>
      </c>
      <c r="F32" s="9">
        <f t="shared" si="0"/>
        <v>21.28</v>
      </c>
      <c r="G32" s="3" t="str">
        <f t="shared" si="1"/>
        <v/>
      </c>
      <c r="J32" s="3" t="str">
        <f t="shared" si="2"/>
        <v/>
      </c>
      <c r="K32" s="3" t="str">
        <f t="shared" si="3"/>
        <v/>
      </c>
      <c r="L32" s="9" t="str">
        <f t="shared" si="4"/>
        <v/>
      </c>
      <c r="M32" s="3">
        <v>1</v>
      </c>
      <c r="N32" s="3"/>
      <c r="O32" s="15">
        <v>0</v>
      </c>
    </row>
    <row r="33" spans="1:15" x14ac:dyDescent="0.25">
      <c r="A33" t="s">
        <v>141</v>
      </c>
      <c r="B33" s="3" t="s">
        <v>33</v>
      </c>
      <c r="C33" s="3" t="s">
        <v>9</v>
      </c>
      <c r="D33" s="4">
        <v>20</v>
      </c>
      <c r="E33" s="11">
        <v>0.44650000000000001</v>
      </c>
      <c r="F33" s="9">
        <f t="shared" si="0"/>
        <v>8.93</v>
      </c>
      <c r="G33" s="3" t="str">
        <f t="shared" si="1"/>
        <v/>
      </c>
      <c r="J33" s="3" t="str">
        <f t="shared" si="2"/>
        <v/>
      </c>
      <c r="K33" s="3" t="str">
        <f t="shared" si="3"/>
        <v/>
      </c>
      <c r="L33" s="9" t="str">
        <f t="shared" si="4"/>
        <v/>
      </c>
      <c r="M33" s="3">
        <v>1</v>
      </c>
      <c r="N33" s="3"/>
      <c r="O33" s="15">
        <v>0</v>
      </c>
    </row>
    <row r="34" spans="1:15" x14ac:dyDescent="0.25">
      <c r="A34" t="s">
        <v>142</v>
      </c>
      <c r="B34" s="3" t="s">
        <v>33</v>
      </c>
      <c r="C34" s="3" t="s">
        <v>9</v>
      </c>
      <c r="D34" s="4">
        <v>20</v>
      </c>
      <c r="E34" s="11">
        <v>0.65549999999999997</v>
      </c>
      <c r="F34" s="9">
        <f t="shared" si="0"/>
        <v>13.11</v>
      </c>
      <c r="G34" s="3" t="str">
        <f t="shared" si="1"/>
        <v/>
      </c>
      <c r="J34" s="3" t="str">
        <f t="shared" si="2"/>
        <v/>
      </c>
      <c r="K34" s="3" t="str">
        <f t="shared" si="3"/>
        <v/>
      </c>
      <c r="L34" s="9" t="str">
        <f t="shared" si="4"/>
        <v/>
      </c>
      <c r="M34" s="3">
        <v>1</v>
      </c>
      <c r="N34" s="3"/>
      <c r="O34" s="15">
        <v>0</v>
      </c>
    </row>
    <row r="35" spans="1:15" x14ac:dyDescent="0.25">
      <c r="A35" t="s">
        <v>143</v>
      </c>
      <c r="B35" s="3" t="s">
        <v>33</v>
      </c>
      <c r="C35" s="3" t="s">
        <v>9</v>
      </c>
      <c r="D35" s="4">
        <v>10</v>
      </c>
      <c r="E35" s="11">
        <v>2.4700000000000002</v>
      </c>
      <c r="F35" s="9">
        <f t="shared" si="0"/>
        <v>24.700000000000003</v>
      </c>
      <c r="G35" s="3" t="str">
        <f t="shared" si="1"/>
        <v/>
      </c>
      <c r="J35" s="3" t="str">
        <f t="shared" si="2"/>
        <v/>
      </c>
      <c r="K35" s="3" t="str">
        <f t="shared" si="3"/>
        <v/>
      </c>
      <c r="L35" s="9" t="str">
        <f t="shared" si="4"/>
        <v/>
      </c>
      <c r="M35" s="3">
        <v>1</v>
      </c>
      <c r="N35" s="3"/>
      <c r="O35" s="15">
        <v>0</v>
      </c>
    </row>
    <row r="36" spans="1:15" x14ac:dyDescent="0.25">
      <c r="A36" t="s">
        <v>144</v>
      </c>
      <c r="B36" s="3" t="s">
        <v>33</v>
      </c>
      <c r="C36" s="3" t="s">
        <v>9</v>
      </c>
      <c r="D36" s="4">
        <v>10</v>
      </c>
      <c r="E36" s="11">
        <v>3.2679999999999998</v>
      </c>
      <c r="F36" s="9">
        <f t="shared" si="0"/>
        <v>32.68</v>
      </c>
      <c r="G36" s="3" t="str">
        <f t="shared" si="1"/>
        <v/>
      </c>
      <c r="J36" s="3" t="str">
        <f t="shared" si="2"/>
        <v/>
      </c>
      <c r="K36" s="3" t="str">
        <f t="shared" si="3"/>
        <v/>
      </c>
      <c r="L36" s="9" t="str">
        <f t="shared" si="4"/>
        <v/>
      </c>
      <c r="M36" s="3">
        <v>1</v>
      </c>
      <c r="N36" s="3"/>
      <c r="O36" s="15">
        <v>0</v>
      </c>
    </row>
    <row r="37" spans="1:15" x14ac:dyDescent="0.25">
      <c r="A37" t="s">
        <v>145</v>
      </c>
      <c r="B37" s="3" t="s">
        <v>10</v>
      </c>
      <c r="C37" s="3" t="s">
        <v>61</v>
      </c>
      <c r="D37" s="4">
        <v>78</v>
      </c>
      <c r="E37" s="11">
        <v>0.8</v>
      </c>
      <c r="F37" s="9">
        <f t="shared" si="0"/>
        <v>62.400000000000006</v>
      </c>
      <c r="G37" s="3" t="str">
        <f t="shared" si="1"/>
        <v/>
      </c>
      <c r="J37" s="3" t="str">
        <f t="shared" si="2"/>
        <v/>
      </c>
      <c r="K37" s="3" t="str">
        <f t="shared" si="3"/>
        <v/>
      </c>
      <c r="L37" s="9" t="str">
        <f t="shared" si="4"/>
        <v/>
      </c>
      <c r="M37" s="3">
        <v>1</v>
      </c>
      <c r="N37" s="3">
        <v>4</v>
      </c>
      <c r="O37" s="15">
        <v>0</v>
      </c>
    </row>
    <row r="38" spans="1:15" x14ac:dyDescent="0.25">
      <c r="A38" t="s">
        <v>146</v>
      </c>
      <c r="B38" s="3" t="s">
        <v>147</v>
      </c>
      <c r="C38" s="3" t="s">
        <v>61</v>
      </c>
      <c r="D38" s="4">
        <v>-38</v>
      </c>
      <c r="E38" s="11">
        <v>43.48</v>
      </c>
      <c r="F38" s="9">
        <f t="shared" si="0"/>
        <v>-1652.2399999999998</v>
      </c>
      <c r="G38" s="3" t="str">
        <f t="shared" si="1"/>
        <v/>
      </c>
      <c r="J38" s="3" t="str">
        <f t="shared" si="2"/>
        <v/>
      </c>
      <c r="K38" s="3" t="str">
        <f t="shared" si="3"/>
        <v/>
      </c>
      <c r="L38" s="9" t="str">
        <f t="shared" si="4"/>
        <v/>
      </c>
      <c r="M38" s="3">
        <v>2</v>
      </c>
      <c r="N38" s="3">
        <v>1</v>
      </c>
      <c r="O38" s="15">
        <v>0</v>
      </c>
    </row>
    <row r="39" spans="1:15" x14ac:dyDescent="0.25">
      <c r="A39" s="2" t="s">
        <v>148</v>
      </c>
      <c r="B39" s="3" t="s">
        <v>33</v>
      </c>
      <c r="C39" s="3" t="s">
        <v>61</v>
      </c>
      <c r="D39" s="4">
        <v>3</v>
      </c>
      <c r="E39" s="11">
        <v>11</v>
      </c>
      <c r="F39" s="9">
        <f t="shared" si="0"/>
        <v>33</v>
      </c>
      <c r="G39" s="3" t="str">
        <f t="shared" si="1"/>
        <v/>
      </c>
      <c r="H39" s="3">
        <v>0</v>
      </c>
      <c r="I39" s="3">
        <v>0</v>
      </c>
      <c r="J39" s="3" t="str">
        <f t="shared" si="2"/>
        <v/>
      </c>
      <c r="K39" s="3" t="str">
        <f t="shared" si="3"/>
        <v/>
      </c>
      <c r="L39" s="9" t="str">
        <f t="shared" si="4"/>
        <v/>
      </c>
      <c r="N39" s="3"/>
      <c r="O39" s="15">
        <v>3</v>
      </c>
    </row>
    <row r="40" spans="1:15" x14ac:dyDescent="0.25">
      <c r="A40" t="s">
        <v>149</v>
      </c>
      <c r="B40" s="3" t="s">
        <v>60</v>
      </c>
      <c r="C40" s="3" t="s">
        <v>61</v>
      </c>
      <c r="D40" s="4">
        <v>-57.5</v>
      </c>
      <c r="E40" s="11">
        <v>-0.86301369863013699</v>
      </c>
      <c r="F40" s="9">
        <f t="shared" si="0"/>
        <v>49.62328767123288</v>
      </c>
      <c r="G40" s="3" t="str">
        <f t="shared" si="1"/>
        <v/>
      </c>
      <c r="J40" s="3" t="str">
        <f t="shared" si="2"/>
        <v/>
      </c>
      <c r="K40" s="3" t="str">
        <f t="shared" si="3"/>
        <v/>
      </c>
      <c r="L40" s="9" t="str">
        <f t="shared" si="4"/>
        <v/>
      </c>
      <c r="M40" s="3">
        <v>4</v>
      </c>
      <c r="N40" s="3">
        <v>14</v>
      </c>
      <c r="O40" s="15">
        <v>0</v>
      </c>
    </row>
    <row r="41" spans="1:15" x14ac:dyDescent="0.25">
      <c r="A41" s="2" t="s">
        <v>150</v>
      </c>
      <c r="B41" s="3" t="s">
        <v>151</v>
      </c>
      <c r="C41" s="3" t="s">
        <v>61</v>
      </c>
      <c r="D41" s="4">
        <v>200</v>
      </c>
      <c r="E41" s="11">
        <v>0.01</v>
      </c>
      <c r="F41" s="9">
        <f t="shared" si="0"/>
        <v>2</v>
      </c>
      <c r="G41" s="3" t="str">
        <f t="shared" si="1"/>
        <v/>
      </c>
      <c r="H41" s="3">
        <v>0</v>
      </c>
      <c r="I41" s="3">
        <v>0</v>
      </c>
      <c r="J41" s="3" t="str">
        <f t="shared" si="2"/>
        <v/>
      </c>
      <c r="K41" s="3" t="str">
        <f t="shared" si="3"/>
        <v/>
      </c>
      <c r="L41" s="9" t="str">
        <f t="shared" si="4"/>
        <v/>
      </c>
      <c r="N41" s="3"/>
      <c r="O41" s="15">
        <v>200</v>
      </c>
    </row>
    <row r="42" spans="1:15" x14ac:dyDescent="0.25">
      <c r="A42" t="s">
        <v>152</v>
      </c>
      <c r="B42" s="3" t="s">
        <v>33</v>
      </c>
      <c r="C42" s="3" t="s">
        <v>61</v>
      </c>
      <c r="D42" s="4">
        <v>1</v>
      </c>
      <c r="E42" s="11">
        <v>8</v>
      </c>
      <c r="F42" s="9">
        <f t="shared" si="0"/>
        <v>8</v>
      </c>
      <c r="G42" s="3" t="str">
        <f t="shared" si="1"/>
        <v/>
      </c>
      <c r="J42" s="3" t="str">
        <f t="shared" si="2"/>
        <v/>
      </c>
      <c r="K42" s="3" t="str">
        <f t="shared" si="3"/>
        <v/>
      </c>
      <c r="L42" s="9" t="str">
        <f t="shared" si="4"/>
        <v/>
      </c>
      <c r="M42" s="3">
        <v>1</v>
      </c>
      <c r="N42" s="3">
        <v>1</v>
      </c>
      <c r="O42" s="15">
        <v>0</v>
      </c>
    </row>
    <row r="43" spans="1:15" x14ac:dyDescent="0.25">
      <c r="A43" s="2" t="s">
        <v>153</v>
      </c>
      <c r="B43" s="3" t="s">
        <v>154</v>
      </c>
      <c r="C43" s="3" t="s">
        <v>61</v>
      </c>
      <c r="D43" s="4">
        <v>2</v>
      </c>
      <c r="E43" s="11">
        <v>30</v>
      </c>
      <c r="F43" s="9">
        <f t="shared" si="0"/>
        <v>60</v>
      </c>
      <c r="G43" s="3" t="str">
        <f t="shared" si="1"/>
        <v/>
      </c>
      <c r="H43" s="3">
        <v>0</v>
      </c>
      <c r="I43" s="3">
        <v>0</v>
      </c>
      <c r="J43" s="3" t="str">
        <f t="shared" si="2"/>
        <v/>
      </c>
      <c r="K43" s="3" t="str">
        <f t="shared" si="3"/>
        <v/>
      </c>
      <c r="L43" s="9" t="str">
        <f t="shared" si="4"/>
        <v/>
      </c>
      <c r="N43" s="3"/>
      <c r="O43" s="15">
        <v>2</v>
      </c>
    </row>
    <row r="44" spans="1:15" x14ac:dyDescent="0.25">
      <c r="A44" s="2" t="s">
        <v>155</v>
      </c>
      <c r="B44" s="3" t="s">
        <v>33</v>
      </c>
      <c r="C44" s="3" t="s">
        <v>61</v>
      </c>
      <c r="D44" s="4">
        <v>0.5</v>
      </c>
      <c r="E44" s="11">
        <v>60</v>
      </c>
      <c r="F44" s="9">
        <f t="shared" si="0"/>
        <v>30</v>
      </c>
      <c r="G44" s="3" t="str">
        <f t="shared" si="1"/>
        <v/>
      </c>
      <c r="H44" s="3">
        <v>0</v>
      </c>
      <c r="I44" s="3">
        <v>0</v>
      </c>
      <c r="J44" s="3" t="str">
        <f t="shared" si="2"/>
        <v/>
      </c>
      <c r="K44" s="3" t="str">
        <f t="shared" si="3"/>
        <v/>
      </c>
      <c r="L44" s="9" t="str">
        <f t="shared" si="4"/>
        <v/>
      </c>
      <c r="N44" s="3"/>
      <c r="O44" s="15">
        <v>0.5</v>
      </c>
    </row>
    <row r="45" spans="1:15" x14ac:dyDescent="0.25">
      <c r="A45" s="2" t="s">
        <v>156</v>
      </c>
      <c r="B45" s="3" t="s">
        <v>60</v>
      </c>
      <c r="C45" s="3" t="s">
        <v>61</v>
      </c>
      <c r="D45" s="4">
        <v>12000</v>
      </c>
      <c r="E45" s="11">
        <v>4.0000000000000001E-3</v>
      </c>
      <c r="F45" s="9">
        <f t="shared" si="0"/>
        <v>48</v>
      </c>
      <c r="G45" s="3" t="str">
        <f t="shared" si="1"/>
        <v/>
      </c>
      <c r="H45" s="3">
        <v>0</v>
      </c>
      <c r="I45" s="3">
        <v>0</v>
      </c>
      <c r="J45" s="3" t="str">
        <f t="shared" si="2"/>
        <v/>
      </c>
      <c r="K45" s="3" t="str">
        <f t="shared" si="3"/>
        <v/>
      </c>
      <c r="L45" s="9" t="str">
        <f t="shared" si="4"/>
        <v/>
      </c>
      <c r="N45" s="3"/>
      <c r="O45" s="15">
        <v>12000</v>
      </c>
    </row>
    <row r="46" spans="1:15" x14ac:dyDescent="0.25">
      <c r="A46" s="2" t="s">
        <v>157</v>
      </c>
      <c r="B46" s="3" t="s">
        <v>60</v>
      </c>
      <c r="C46" s="3" t="s">
        <v>61</v>
      </c>
      <c r="D46" s="4">
        <v>3204</v>
      </c>
      <c r="E46" s="11">
        <v>0.22035766763284295</v>
      </c>
      <c r="F46" s="9">
        <f t="shared" si="0"/>
        <v>706.02596709562886</v>
      </c>
      <c r="G46" s="3" t="str">
        <f t="shared" si="1"/>
        <v/>
      </c>
      <c r="H46" s="3">
        <v>0</v>
      </c>
      <c r="I46" s="3">
        <v>0</v>
      </c>
      <c r="J46" s="3" t="str">
        <f t="shared" si="2"/>
        <v/>
      </c>
      <c r="K46" s="3" t="str">
        <f t="shared" si="3"/>
        <v/>
      </c>
      <c r="L46" s="9" t="str">
        <f t="shared" si="4"/>
        <v/>
      </c>
      <c r="M46" s="3">
        <v>3</v>
      </c>
      <c r="N46" s="3">
        <v>12</v>
      </c>
      <c r="O46" s="15">
        <v>2500</v>
      </c>
    </row>
    <row r="47" spans="1:15" x14ac:dyDescent="0.25">
      <c r="A47" s="2" t="s">
        <v>158</v>
      </c>
      <c r="B47" s="3" t="s">
        <v>8</v>
      </c>
      <c r="C47" s="3" t="s">
        <v>61</v>
      </c>
      <c r="D47" s="4">
        <v>6</v>
      </c>
      <c r="E47" s="11">
        <v>26</v>
      </c>
      <c r="F47" s="9">
        <f t="shared" si="0"/>
        <v>156</v>
      </c>
      <c r="G47" s="3" t="str">
        <f t="shared" si="1"/>
        <v/>
      </c>
      <c r="H47" s="3">
        <v>0</v>
      </c>
      <c r="I47" s="3">
        <v>0</v>
      </c>
      <c r="J47" s="3" t="str">
        <f t="shared" si="2"/>
        <v/>
      </c>
      <c r="K47" s="3" t="str">
        <f t="shared" si="3"/>
        <v/>
      </c>
      <c r="L47" s="9" t="str">
        <f t="shared" si="4"/>
        <v/>
      </c>
      <c r="N47" s="3"/>
      <c r="O47" s="15">
        <v>6</v>
      </c>
    </row>
    <row r="48" spans="1:15" x14ac:dyDescent="0.25">
      <c r="A48" s="2" t="s">
        <v>159</v>
      </c>
      <c r="B48" s="3" t="s">
        <v>33</v>
      </c>
      <c r="C48" s="3" t="s">
        <v>61</v>
      </c>
      <c r="D48" s="4">
        <v>20</v>
      </c>
      <c r="E48" s="11">
        <v>0.05</v>
      </c>
      <c r="F48" s="9">
        <f t="shared" si="0"/>
        <v>1</v>
      </c>
      <c r="G48" s="3" t="str">
        <f t="shared" si="1"/>
        <v/>
      </c>
      <c r="H48" s="3">
        <v>0</v>
      </c>
      <c r="I48" s="3">
        <v>0</v>
      </c>
      <c r="J48" s="3" t="str">
        <f t="shared" si="2"/>
        <v/>
      </c>
      <c r="K48" s="3" t="str">
        <f t="shared" si="3"/>
        <v/>
      </c>
      <c r="L48" s="9" t="str">
        <f t="shared" si="4"/>
        <v/>
      </c>
      <c r="N48" s="3"/>
      <c r="O48" s="15">
        <v>20</v>
      </c>
    </row>
    <row r="49" spans="1:15" x14ac:dyDescent="0.25">
      <c r="A49" s="2" t="s">
        <v>160</v>
      </c>
      <c r="B49" s="3" t="s">
        <v>33</v>
      </c>
      <c r="C49" s="3" t="s">
        <v>61</v>
      </c>
      <c r="D49" s="4">
        <v>18</v>
      </c>
      <c r="E49" s="11">
        <v>51.428571428571431</v>
      </c>
      <c r="F49" s="9">
        <f t="shared" si="0"/>
        <v>925.71428571428578</v>
      </c>
      <c r="G49" s="3" t="str">
        <f t="shared" si="1"/>
        <v/>
      </c>
      <c r="H49" s="3">
        <v>0</v>
      </c>
      <c r="I49" s="3">
        <v>0</v>
      </c>
      <c r="J49" s="3" t="str">
        <f t="shared" si="2"/>
        <v/>
      </c>
      <c r="K49" s="3" t="str">
        <f t="shared" si="3"/>
        <v/>
      </c>
      <c r="L49" s="9" t="str">
        <f t="shared" si="4"/>
        <v/>
      </c>
      <c r="M49" s="3">
        <v>1</v>
      </c>
      <c r="N49" s="3">
        <v>1</v>
      </c>
      <c r="O49" s="15">
        <v>3</v>
      </c>
    </row>
    <row r="50" spans="1:15" x14ac:dyDescent="0.25">
      <c r="A50" s="2" t="s">
        <v>161</v>
      </c>
      <c r="B50" s="3" t="s">
        <v>8</v>
      </c>
      <c r="C50" s="3" t="s">
        <v>61</v>
      </c>
      <c r="D50" s="4">
        <v>-2</v>
      </c>
      <c r="E50" s="11">
        <v>80</v>
      </c>
      <c r="F50" s="9">
        <f t="shared" si="0"/>
        <v>-160</v>
      </c>
      <c r="G50" s="3" t="str">
        <f t="shared" si="1"/>
        <v/>
      </c>
      <c r="H50" s="3">
        <v>0</v>
      </c>
      <c r="I50" s="3">
        <v>0</v>
      </c>
      <c r="J50" s="3" t="str">
        <f t="shared" si="2"/>
        <v/>
      </c>
      <c r="K50" s="3" t="str">
        <f t="shared" si="3"/>
        <v/>
      </c>
      <c r="L50" s="9" t="str">
        <f t="shared" si="4"/>
        <v/>
      </c>
      <c r="N50" s="3">
        <v>3</v>
      </c>
      <c r="O50" s="15">
        <v>10</v>
      </c>
    </row>
    <row r="51" spans="1:15" x14ac:dyDescent="0.25">
      <c r="A51" s="2" t="s">
        <v>162</v>
      </c>
      <c r="B51" s="3" t="s">
        <v>33</v>
      </c>
      <c r="C51" s="3" t="s">
        <v>61</v>
      </c>
      <c r="D51" s="4">
        <v>3</v>
      </c>
      <c r="E51" s="11">
        <v>31.2</v>
      </c>
      <c r="F51" s="9">
        <f t="shared" si="0"/>
        <v>93.6</v>
      </c>
      <c r="G51" s="3" t="str">
        <f t="shared" si="1"/>
        <v/>
      </c>
      <c r="H51" s="3">
        <v>0</v>
      </c>
      <c r="I51" s="3">
        <v>0</v>
      </c>
      <c r="J51" s="3" t="str">
        <f t="shared" si="2"/>
        <v/>
      </c>
      <c r="K51" s="3" t="str">
        <f t="shared" si="3"/>
        <v/>
      </c>
      <c r="L51" s="9" t="str">
        <f t="shared" si="4"/>
        <v/>
      </c>
      <c r="N51" s="3"/>
      <c r="O51" s="15">
        <v>3</v>
      </c>
    </row>
    <row r="52" spans="1:15" x14ac:dyDescent="0.25">
      <c r="A52" s="2" t="s">
        <v>59</v>
      </c>
      <c r="B52" s="3" t="s">
        <v>60</v>
      </c>
      <c r="C52" s="3" t="s">
        <v>61</v>
      </c>
      <c r="D52" s="4">
        <v>6.75</v>
      </c>
      <c r="E52" s="11">
        <v>2.8085714285714287</v>
      </c>
      <c r="F52" s="9">
        <f t="shared" si="0"/>
        <v>18.957857142857144</v>
      </c>
      <c r="G52" s="3" t="str">
        <f t="shared" si="1"/>
        <v/>
      </c>
      <c r="H52" s="3">
        <v>0</v>
      </c>
      <c r="I52" s="3">
        <v>0</v>
      </c>
      <c r="J52" s="3" t="str">
        <f t="shared" si="2"/>
        <v/>
      </c>
      <c r="K52" s="3" t="str">
        <f t="shared" si="3"/>
        <v/>
      </c>
      <c r="L52" s="9" t="str">
        <f t="shared" si="4"/>
        <v/>
      </c>
      <c r="M52" s="3">
        <v>1</v>
      </c>
      <c r="N52" s="3">
        <v>1</v>
      </c>
      <c r="O52" s="15">
        <v>1</v>
      </c>
    </row>
    <row r="53" spans="1:15" x14ac:dyDescent="0.25">
      <c r="A53" t="s">
        <v>435</v>
      </c>
      <c r="B53" s="3" t="s">
        <v>405</v>
      </c>
      <c r="C53" s="3" t="s">
        <v>61</v>
      </c>
      <c r="D53" s="4">
        <v>4355</v>
      </c>
      <c r="E53" s="11">
        <v>1.5</v>
      </c>
      <c r="F53" s="9">
        <f t="shared" si="0"/>
        <v>6532.5</v>
      </c>
      <c r="G53" s="3" t="str">
        <f t="shared" si="1"/>
        <v/>
      </c>
      <c r="J53" s="3" t="str">
        <f t="shared" si="2"/>
        <v/>
      </c>
      <c r="K53" s="3" t="str">
        <f t="shared" si="3"/>
        <v/>
      </c>
      <c r="L53" s="9" t="str">
        <f t="shared" si="4"/>
        <v/>
      </c>
      <c r="N53" s="3">
        <v>8</v>
      </c>
      <c r="O53" s="15">
        <v>0</v>
      </c>
    </row>
    <row r="54" spans="1:15" x14ac:dyDescent="0.25">
      <c r="A54" s="2" t="s">
        <v>163</v>
      </c>
      <c r="B54" s="3" t="s">
        <v>33</v>
      </c>
      <c r="C54" s="3" t="s">
        <v>61</v>
      </c>
      <c r="D54" s="4">
        <v>5</v>
      </c>
      <c r="E54" s="11">
        <v>7</v>
      </c>
      <c r="F54" s="9">
        <f t="shared" si="0"/>
        <v>35</v>
      </c>
      <c r="G54" s="3" t="str">
        <f t="shared" si="1"/>
        <v/>
      </c>
      <c r="H54" s="3">
        <v>0</v>
      </c>
      <c r="I54" s="3">
        <v>0</v>
      </c>
      <c r="J54" s="3" t="str">
        <f t="shared" si="2"/>
        <v/>
      </c>
      <c r="K54" s="3" t="str">
        <f t="shared" si="3"/>
        <v/>
      </c>
      <c r="L54" s="9" t="str">
        <f t="shared" si="4"/>
        <v/>
      </c>
      <c r="N54" s="3">
        <v>3</v>
      </c>
      <c r="O54" s="15">
        <v>8</v>
      </c>
    </row>
    <row r="55" spans="1:15" x14ac:dyDescent="0.25">
      <c r="A55" s="2" t="s">
        <v>164</v>
      </c>
      <c r="B55" s="3" t="s">
        <v>33</v>
      </c>
      <c r="C55" s="3" t="s">
        <v>61</v>
      </c>
      <c r="D55" s="4">
        <v>2</v>
      </c>
      <c r="E55" s="11">
        <v>17</v>
      </c>
      <c r="F55" s="9">
        <f t="shared" si="0"/>
        <v>34</v>
      </c>
      <c r="G55" s="3" t="str">
        <f t="shared" si="1"/>
        <v/>
      </c>
      <c r="H55" s="3">
        <v>0</v>
      </c>
      <c r="I55" s="3">
        <v>0</v>
      </c>
      <c r="J55" s="3" t="str">
        <f t="shared" si="2"/>
        <v/>
      </c>
      <c r="K55" s="3" t="str">
        <f t="shared" si="3"/>
        <v/>
      </c>
      <c r="L55" s="9" t="str">
        <f t="shared" si="4"/>
        <v/>
      </c>
      <c r="N55" s="3"/>
      <c r="O55" s="15">
        <v>2</v>
      </c>
    </row>
    <row r="56" spans="1:15" x14ac:dyDescent="0.25">
      <c r="A56" s="2" t="s">
        <v>165</v>
      </c>
      <c r="B56" s="3" t="s">
        <v>33</v>
      </c>
      <c r="C56" s="3" t="s">
        <v>61</v>
      </c>
      <c r="D56" s="4">
        <v>2</v>
      </c>
      <c r="E56" s="11">
        <v>45</v>
      </c>
      <c r="F56" s="9">
        <f t="shared" si="0"/>
        <v>90</v>
      </c>
      <c r="G56" s="3" t="str">
        <f t="shared" si="1"/>
        <v/>
      </c>
      <c r="H56" s="3">
        <v>0</v>
      </c>
      <c r="I56" s="3">
        <v>0</v>
      </c>
      <c r="J56" s="3" t="str">
        <f t="shared" si="2"/>
        <v/>
      </c>
      <c r="K56" s="3" t="str">
        <f t="shared" si="3"/>
        <v/>
      </c>
      <c r="L56" s="9" t="str">
        <f t="shared" si="4"/>
        <v/>
      </c>
      <c r="N56" s="3"/>
      <c r="O56" s="15">
        <v>2</v>
      </c>
    </row>
    <row r="57" spans="1:15" x14ac:dyDescent="0.25">
      <c r="A57" s="2" t="s">
        <v>166</v>
      </c>
      <c r="B57" s="3" t="s">
        <v>33</v>
      </c>
      <c r="C57" s="3" t="s">
        <v>61</v>
      </c>
      <c r="D57" s="4">
        <v>1</v>
      </c>
      <c r="E57" s="11">
        <v>5</v>
      </c>
      <c r="F57" s="9">
        <f t="shared" si="0"/>
        <v>5</v>
      </c>
      <c r="G57" s="3" t="str">
        <f t="shared" si="1"/>
        <v/>
      </c>
      <c r="H57" s="3">
        <v>0</v>
      </c>
      <c r="I57" s="3">
        <v>0</v>
      </c>
      <c r="J57" s="3" t="str">
        <f t="shared" si="2"/>
        <v/>
      </c>
      <c r="K57" s="3" t="str">
        <f t="shared" si="3"/>
        <v/>
      </c>
      <c r="L57" s="9" t="str">
        <f t="shared" si="4"/>
        <v/>
      </c>
      <c r="N57" s="3"/>
      <c r="O57" s="15">
        <v>1</v>
      </c>
    </row>
    <row r="58" spans="1:15" x14ac:dyDescent="0.25">
      <c r="A58" t="s">
        <v>436</v>
      </c>
      <c r="B58" s="3" t="s">
        <v>351</v>
      </c>
      <c r="C58" s="3" t="s">
        <v>61</v>
      </c>
      <c r="D58" s="4">
        <v>2</v>
      </c>
      <c r="E58" s="11">
        <v>25</v>
      </c>
      <c r="F58" s="9">
        <f t="shared" si="0"/>
        <v>50</v>
      </c>
      <c r="G58" s="3" t="str">
        <f t="shared" si="1"/>
        <v/>
      </c>
      <c r="J58" s="3" t="str">
        <f t="shared" si="2"/>
        <v/>
      </c>
      <c r="K58" s="3" t="str">
        <f t="shared" si="3"/>
        <v/>
      </c>
      <c r="L58" s="9" t="str">
        <f t="shared" si="4"/>
        <v/>
      </c>
      <c r="M58" s="3">
        <v>1</v>
      </c>
      <c r="N58" s="3"/>
      <c r="O58" s="15">
        <v>0</v>
      </c>
    </row>
    <row r="59" spans="1:15" x14ac:dyDescent="0.25">
      <c r="A59" t="s">
        <v>167</v>
      </c>
      <c r="B59" s="3" t="s">
        <v>60</v>
      </c>
      <c r="C59" s="3" t="s">
        <v>61</v>
      </c>
      <c r="D59" s="4">
        <v>-217</v>
      </c>
      <c r="E59" s="11">
        <v>-0.40632054176072235</v>
      </c>
      <c r="F59" s="9">
        <f t="shared" si="0"/>
        <v>88.171557562076757</v>
      </c>
      <c r="G59" s="3" t="str">
        <f t="shared" si="1"/>
        <v/>
      </c>
      <c r="J59" s="3" t="str">
        <f t="shared" si="2"/>
        <v/>
      </c>
      <c r="K59" s="3" t="str">
        <f t="shared" si="3"/>
        <v/>
      </c>
      <c r="L59" s="9" t="str">
        <f t="shared" si="4"/>
        <v/>
      </c>
      <c r="M59" s="3">
        <v>4</v>
      </c>
      <c r="N59" s="3">
        <v>17</v>
      </c>
      <c r="O59" s="15">
        <v>0</v>
      </c>
    </row>
    <row r="60" spans="1:15" x14ac:dyDescent="0.25">
      <c r="A60" s="2" t="s">
        <v>168</v>
      </c>
      <c r="B60" s="3" t="s">
        <v>151</v>
      </c>
      <c r="C60" s="3" t="s">
        <v>61</v>
      </c>
      <c r="D60" s="4">
        <v>500</v>
      </c>
      <c r="E60" s="11">
        <v>0.11</v>
      </c>
      <c r="F60" s="9">
        <f t="shared" si="0"/>
        <v>55</v>
      </c>
      <c r="G60" s="3" t="str">
        <f t="shared" si="1"/>
        <v/>
      </c>
      <c r="H60" s="3">
        <v>0</v>
      </c>
      <c r="I60" s="3">
        <v>0</v>
      </c>
      <c r="J60" s="3" t="str">
        <f t="shared" si="2"/>
        <v/>
      </c>
      <c r="K60" s="3" t="str">
        <f t="shared" si="3"/>
        <v/>
      </c>
      <c r="L60" s="9" t="str">
        <f t="shared" si="4"/>
        <v/>
      </c>
      <c r="N60" s="3"/>
      <c r="O60" s="15">
        <v>500</v>
      </c>
    </row>
    <row r="61" spans="1:15" x14ac:dyDescent="0.25">
      <c r="A61" s="2" t="s">
        <v>169</v>
      </c>
      <c r="B61" s="3" t="s">
        <v>33</v>
      </c>
      <c r="C61" s="3" t="s">
        <v>61</v>
      </c>
      <c r="D61" s="4">
        <v>-0.34000000000000008</v>
      </c>
      <c r="E61" s="11">
        <v>62</v>
      </c>
      <c r="F61" s="9">
        <f t="shared" si="0"/>
        <v>-21.080000000000005</v>
      </c>
      <c r="G61" s="3" t="str">
        <f t="shared" si="1"/>
        <v/>
      </c>
      <c r="H61" s="3">
        <v>0</v>
      </c>
      <c r="I61" s="3">
        <v>0</v>
      </c>
      <c r="J61" s="3" t="str">
        <f t="shared" si="2"/>
        <v/>
      </c>
      <c r="K61" s="3" t="str">
        <f t="shared" si="3"/>
        <v/>
      </c>
      <c r="L61" s="9" t="str">
        <f t="shared" si="4"/>
        <v/>
      </c>
      <c r="N61" s="3">
        <v>1</v>
      </c>
      <c r="O61" s="15">
        <v>1</v>
      </c>
    </row>
    <row r="62" spans="1:15" x14ac:dyDescent="0.25">
      <c r="A62" t="s">
        <v>437</v>
      </c>
      <c r="B62" s="3" t="s">
        <v>438</v>
      </c>
      <c r="C62" s="3" t="s">
        <v>61</v>
      </c>
      <c r="D62" s="4">
        <v>1334</v>
      </c>
      <c r="E62" s="11">
        <v>3</v>
      </c>
      <c r="F62" s="9">
        <f t="shared" si="0"/>
        <v>4002</v>
      </c>
      <c r="G62" s="3" t="str">
        <f t="shared" si="1"/>
        <v/>
      </c>
      <c r="J62" s="3" t="str">
        <f t="shared" si="2"/>
        <v/>
      </c>
      <c r="K62" s="3" t="str">
        <f t="shared" si="3"/>
        <v/>
      </c>
      <c r="L62" s="9" t="str">
        <f t="shared" si="4"/>
        <v/>
      </c>
      <c r="M62" s="3">
        <v>2</v>
      </c>
      <c r="N62" s="3">
        <v>34</v>
      </c>
      <c r="O62" s="15">
        <v>0</v>
      </c>
    </row>
    <row r="63" spans="1:15" x14ac:dyDescent="0.25">
      <c r="A63" t="s">
        <v>170</v>
      </c>
      <c r="B63" s="3" t="s">
        <v>83</v>
      </c>
      <c r="C63" s="3" t="s">
        <v>61</v>
      </c>
      <c r="D63" s="18">
        <v>-13.760000000000002</v>
      </c>
      <c r="E63" s="11">
        <v>41.159663865546214</v>
      </c>
      <c r="F63" s="9">
        <f t="shared" si="0"/>
        <v>-566.35697478991597</v>
      </c>
      <c r="G63" s="3" t="str">
        <f t="shared" si="1"/>
        <v/>
      </c>
      <c r="H63" s="3">
        <v>0</v>
      </c>
      <c r="I63" s="3">
        <v>0</v>
      </c>
      <c r="J63" s="3" t="str">
        <f t="shared" si="2"/>
        <v/>
      </c>
      <c r="K63" s="3" t="str">
        <f t="shared" si="3"/>
        <v/>
      </c>
      <c r="L63" s="9" t="str">
        <f t="shared" si="4"/>
        <v/>
      </c>
      <c r="M63" s="3">
        <v>4</v>
      </c>
      <c r="N63" s="3">
        <v>8</v>
      </c>
      <c r="O63" s="16">
        <v>0.5</v>
      </c>
    </row>
    <row r="64" spans="1:15" x14ac:dyDescent="0.25">
      <c r="A64" s="2" t="s">
        <v>171</v>
      </c>
      <c r="B64" s="3" t="s">
        <v>60</v>
      </c>
      <c r="C64" s="3" t="s">
        <v>61</v>
      </c>
      <c r="D64" s="4">
        <v>1549</v>
      </c>
      <c r="E64" s="11">
        <v>1.8499999999999999E-2</v>
      </c>
      <c r="F64" s="9">
        <f t="shared" si="0"/>
        <v>28.656499999999998</v>
      </c>
      <c r="G64" s="3" t="str">
        <f t="shared" si="1"/>
        <v/>
      </c>
      <c r="H64" s="3">
        <v>0</v>
      </c>
      <c r="I64" s="3">
        <v>0</v>
      </c>
      <c r="J64" s="3" t="str">
        <f t="shared" si="2"/>
        <v/>
      </c>
      <c r="K64" s="3" t="str">
        <f t="shared" si="3"/>
        <v/>
      </c>
      <c r="L64" s="9" t="str">
        <f t="shared" si="4"/>
        <v/>
      </c>
      <c r="N64" s="3">
        <v>35</v>
      </c>
      <c r="O64" s="15">
        <v>7000</v>
      </c>
    </row>
    <row r="65" spans="1:15" x14ac:dyDescent="0.25">
      <c r="A65" t="s">
        <v>172</v>
      </c>
      <c r="B65" s="3" t="s">
        <v>33</v>
      </c>
      <c r="C65" s="3" t="s">
        <v>61</v>
      </c>
      <c r="D65" s="4">
        <v>1</v>
      </c>
      <c r="E65" s="11">
        <v>7</v>
      </c>
      <c r="F65" s="9">
        <f t="shared" si="0"/>
        <v>7</v>
      </c>
      <c r="G65" s="3" t="str">
        <f t="shared" si="1"/>
        <v/>
      </c>
      <c r="J65" s="3" t="str">
        <f t="shared" si="2"/>
        <v/>
      </c>
      <c r="K65" s="3" t="str">
        <f t="shared" si="3"/>
        <v/>
      </c>
      <c r="L65" s="9" t="str">
        <f t="shared" si="4"/>
        <v/>
      </c>
      <c r="M65" s="3">
        <v>1</v>
      </c>
      <c r="N65" s="3"/>
      <c r="O65" s="15">
        <v>0</v>
      </c>
    </row>
    <row r="66" spans="1:15" x14ac:dyDescent="0.25">
      <c r="A66" s="2" t="s">
        <v>173</v>
      </c>
      <c r="B66" s="3" t="s">
        <v>174</v>
      </c>
      <c r="C66" s="3" t="s">
        <v>61</v>
      </c>
      <c r="D66" s="4">
        <v>3</v>
      </c>
      <c r="E66" s="11">
        <v>1.5</v>
      </c>
      <c r="F66" s="9">
        <f t="shared" ref="F66:F129" si="5">SUM(D66*E66)</f>
        <v>4.5</v>
      </c>
      <c r="G66" s="3" t="str">
        <f t="shared" ref="G66:G129" si="6">IF(E66=0,"BLOCK","")</f>
        <v/>
      </c>
      <c r="H66" s="3">
        <v>0</v>
      </c>
      <c r="I66" s="3">
        <v>0</v>
      </c>
      <c r="J66" s="3" t="str">
        <f t="shared" ref="J66:J129" si="7">IF(H66=0,"",IF(D66&lt;=H66,"1",""))</f>
        <v/>
      </c>
      <c r="K66" s="3" t="str">
        <f t="shared" ref="K66:K129" si="8">IF(J66="","",I66-D66)</f>
        <v/>
      </c>
      <c r="L66" s="9" t="str">
        <f t="shared" ref="L66:L129" si="9">IF(J66="1",(I66-D66)*E66,"")</f>
        <v/>
      </c>
      <c r="N66" s="3"/>
      <c r="O66" s="15">
        <v>3</v>
      </c>
    </row>
    <row r="67" spans="1:15" x14ac:dyDescent="0.25">
      <c r="A67" s="2" t="s">
        <v>175</v>
      </c>
      <c r="B67" s="3" t="s">
        <v>33</v>
      </c>
      <c r="C67" s="3" t="s">
        <v>61</v>
      </c>
      <c r="D67" s="4">
        <v>1</v>
      </c>
      <c r="E67" s="11">
        <v>10</v>
      </c>
      <c r="F67" s="9">
        <f t="shared" si="5"/>
        <v>10</v>
      </c>
      <c r="G67" s="3" t="str">
        <f t="shared" si="6"/>
        <v/>
      </c>
      <c r="H67" s="3">
        <v>0</v>
      </c>
      <c r="I67" s="3">
        <v>0</v>
      </c>
      <c r="J67" s="3" t="str">
        <f t="shared" si="7"/>
        <v/>
      </c>
      <c r="K67" s="3" t="str">
        <f t="shared" si="8"/>
        <v/>
      </c>
      <c r="L67" s="9" t="str">
        <f t="shared" si="9"/>
        <v/>
      </c>
      <c r="N67" s="3"/>
      <c r="O67" s="15">
        <v>1</v>
      </c>
    </row>
    <row r="68" spans="1:15" x14ac:dyDescent="0.25">
      <c r="A68" s="2" t="s">
        <v>176</v>
      </c>
      <c r="B68" s="3" t="s">
        <v>33</v>
      </c>
      <c r="C68" s="3" t="s">
        <v>61</v>
      </c>
      <c r="D68" s="4">
        <v>2</v>
      </c>
      <c r="E68" s="11">
        <v>9</v>
      </c>
      <c r="F68" s="9">
        <f t="shared" si="5"/>
        <v>18</v>
      </c>
      <c r="G68" s="3" t="str">
        <f t="shared" si="6"/>
        <v/>
      </c>
      <c r="H68" s="3">
        <v>0</v>
      </c>
      <c r="I68" s="3">
        <v>0</v>
      </c>
      <c r="J68" s="3" t="str">
        <f t="shared" si="7"/>
        <v/>
      </c>
      <c r="K68" s="3" t="str">
        <f t="shared" si="8"/>
        <v/>
      </c>
      <c r="L68" s="9" t="str">
        <f t="shared" si="9"/>
        <v/>
      </c>
      <c r="N68" s="3"/>
      <c r="O68" s="15">
        <v>2</v>
      </c>
    </row>
    <row r="69" spans="1:15" x14ac:dyDescent="0.25">
      <c r="A69" t="s">
        <v>177</v>
      </c>
      <c r="B69" s="3" t="s">
        <v>83</v>
      </c>
      <c r="C69" s="3" t="s">
        <v>61</v>
      </c>
      <c r="D69" s="18">
        <v>-62.5</v>
      </c>
      <c r="E69" s="11">
        <v>19</v>
      </c>
      <c r="F69" s="9">
        <f t="shared" si="5"/>
        <v>-1187.5</v>
      </c>
      <c r="G69" s="3" t="str">
        <f t="shared" si="6"/>
        <v/>
      </c>
      <c r="H69" s="3">
        <v>0</v>
      </c>
      <c r="I69" s="3">
        <v>0</v>
      </c>
      <c r="J69" s="3" t="str">
        <f t="shared" si="7"/>
        <v/>
      </c>
      <c r="K69" s="3" t="str">
        <f t="shared" si="8"/>
        <v/>
      </c>
      <c r="L69" s="9" t="str">
        <f t="shared" si="9"/>
        <v/>
      </c>
      <c r="N69" s="3">
        <v>21</v>
      </c>
      <c r="O69" s="16">
        <v>66</v>
      </c>
    </row>
    <row r="70" spans="1:15" x14ac:dyDescent="0.25">
      <c r="A70" s="2" t="s">
        <v>178</v>
      </c>
      <c r="B70" s="3" t="s">
        <v>33</v>
      </c>
      <c r="C70" s="3" t="s">
        <v>61</v>
      </c>
      <c r="D70" s="4">
        <v>4.5</v>
      </c>
      <c r="E70" s="11">
        <v>6</v>
      </c>
      <c r="F70" s="9">
        <f t="shared" si="5"/>
        <v>27</v>
      </c>
      <c r="G70" s="3" t="str">
        <f t="shared" si="6"/>
        <v/>
      </c>
      <c r="H70" s="3">
        <v>0</v>
      </c>
      <c r="I70" s="3">
        <v>0</v>
      </c>
      <c r="J70" s="3" t="str">
        <f t="shared" si="7"/>
        <v/>
      </c>
      <c r="K70" s="3" t="str">
        <f t="shared" si="8"/>
        <v/>
      </c>
      <c r="L70" s="9" t="str">
        <f t="shared" si="9"/>
        <v/>
      </c>
      <c r="N70" s="3"/>
      <c r="O70" s="15">
        <v>4.5</v>
      </c>
    </row>
    <row r="71" spans="1:15" x14ac:dyDescent="0.25">
      <c r="A71" t="s">
        <v>179</v>
      </c>
      <c r="B71" s="3" t="s">
        <v>83</v>
      </c>
      <c r="C71" s="3" t="s">
        <v>61</v>
      </c>
      <c r="D71" s="18">
        <v>-51.7</v>
      </c>
      <c r="E71" s="11">
        <v>9.2608695652173925</v>
      </c>
      <c r="F71" s="9">
        <f t="shared" si="5"/>
        <v>-478.78695652173923</v>
      </c>
      <c r="G71" s="3" t="str">
        <f t="shared" si="6"/>
        <v/>
      </c>
      <c r="H71" s="3">
        <v>0</v>
      </c>
      <c r="I71" s="3">
        <v>0</v>
      </c>
      <c r="J71" s="3" t="str">
        <f t="shared" si="7"/>
        <v/>
      </c>
      <c r="K71" s="3" t="str">
        <f t="shared" si="8"/>
        <v/>
      </c>
      <c r="L71" s="9" t="str">
        <f t="shared" si="9"/>
        <v/>
      </c>
      <c r="M71" s="3">
        <v>2</v>
      </c>
      <c r="N71" s="3">
        <v>10</v>
      </c>
      <c r="O71" s="16">
        <v>8</v>
      </c>
    </row>
    <row r="72" spans="1:15" x14ac:dyDescent="0.25">
      <c r="A72" s="2" t="s">
        <v>180</v>
      </c>
      <c r="B72" s="3" t="s">
        <v>33</v>
      </c>
      <c r="C72" s="3" t="s">
        <v>61</v>
      </c>
      <c r="D72" s="4">
        <v>22</v>
      </c>
      <c r="E72" s="11">
        <v>20</v>
      </c>
      <c r="F72" s="9">
        <f t="shared" si="5"/>
        <v>440</v>
      </c>
      <c r="G72" s="3" t="str">
        <f t="shared" si="6"/>
        <v/>
      </c>
      <c r="H72" s="3">
        <v>0</v>
      </c>
      <c r="I72" s="3">
        <v>0</v>
      </c>
      <c r="J72" s="3" t="str">
        <f t="shared" si="7"/>
        <v/>
      </c>
      <c r="K72" s="3" t="str">
        <f t="shared" si="8"/>
        <v/>
      </c>
      <c r="L72" s="9" t="str">
        <f t="shared" si="9"/>
        <v/>
      </c>
      <c r="M72" s="3">
        <v>1</v>
      </c>
      <c r="N72" s="3"/>
      <c r="O72" s="15">
        <v>2</v>
      </c>
    </row>
    <row r="73" spans="1:15" x14ac:dyDescent="0.25">
      <c r="A73" s="2" t="s">
        <v>62</v>
      </c>
      <c r="B73" s="3" t="s">
        <v>60</v>
      </c>
      <c r="C73" s="3" t="s">
        <v>61</v>
      </c>
      <c r="D73" s="4">
        <v>58186</v>
      </c>
      <c r="E73" s="11">
        <v>0.3</v>
      </c>
      <c r="F73" s="9">
        <f t="shared" si="5"/>
        <v>17455.8</v>
      </c>
      <c r="G73" s="3" t="str">
        <f t="shared" si="6"/>
        <v/>
      </c>
      <c r="H73" s="3">
        <v>0</v>
      </c>
      <c r="I73" s="3">
        <v>0</v>
      </c>
      <c r="J73" s="3" t="str">
        <f t="shared" si="7"/>
        <v/>
      </c>
      <c r="K73" s="3" t="str">
        <f t="shared" si="8"/>
        <v/>
      </c>
      <c r="L73" s="9" t="str">
        <f t="shared" si="9"/>
        <v/>
      </c>
      <c r="N73" s="3">
        <v>18</v>
      </c>
      <c r="O73" s="15">
        <v>77000</v>
      </c>
    </row>
    <row r="74" spans="1:15" x14ac:dyDescent="0.25">
      <c r="A74" s="2" t="s">
        <v>181</v>
      </c>
      <c r="B74" s="3" t="s">
        <v>33</v>
      </c>
      <c r="C74" s="3" t="s">
        <v>61</v>
      </c>
      <c r="D74" s="4">
        <v>1</v>
      </c>
      <c r="E74" s="11">
        <v>220</v>
      </c>
      <c r="F74" s="9">
        <f t="shared" si="5"/>
        <v>220</v>
      </c>
      <c r="G74" s="3" t="str">
        <f t="shared" si="6"/>
        <v/>
      </c>
      <c r="H74" s="3">
        <v>0</v>
      </c>
      <c r="I74" s="3">
        <v>0</v>
      </c>
      <c r="J74" s="3" t="str">
        <f t="shared" si="7"/>
        <v/>
      </c>
      <c r="K74" s="3" t="str">
        <f t="shared" si="8"/>
        <v/>
      </c>
      <c r="L74" s="9" t="str">
        <f t="shared" si="9"/>
        <v/>
      </c>
      <c r="N74" s="3"/>
      <c r="O74" s="15">
        <v>1</v>
      </c>
    </row>
    <row r="75" spans="1:15" x14ac:dyDescent="0.25">
      <c r="A75" s="2" t="s">
        <v>182</v>
      </c>
      <c r="B75" s="3" t="s">
        <v>33</v>
      </c>
      <c r="C75" s="3" t="s">
        <v>61</v>
      </c>
      <c r="D75" s="4">
        <v>0</v>
      </c>
      <c r="E75" s="11">
        <v>0.63</v>
      </c>
      <c r="F75" s="9">
        <f t="shared" si="5"/>
        <v>0</v>
      </c>
      <c r="G75" s="3" t="str">
        <f t="shared" si="6"/>
        <v/>
      </c>
      <c r="H75" s="3">
        <v>0</v>
      </c>
      <c r="I75" s="3">
        <v>0</v>
      </c>
      <c r="J75" s="3" t="str">
        <f t="shared" si="7"/>
        <v/>
      </c>
      <c r="K75" s="3" t="str">
        <f t="shared" si="8"/>
        <v/>
      </c>
      <c r="L75" s="9" t="str">
        <f t="shared" si="9"/>
        <v/>
      </c>
      <c r="N75" s="3">
        <v>1</v>
      </c>
      <c r="O75" s="15">
        <v>2</v>
      </c>
    </row>
    <row r="76" spans="1:15" x14ac:dyDescent="0.25">
      <c r="A76" s="2" t="s">
        <v>183</v>
      </c>
      <c r="B76" s="3" t="s">
        <v>33</v>
      </c>
      <c r="C76" s="3" t="s">
        <v>61</v>
      </c>
      <c r="D76" s="4">
        <v>2</v>
      </c>
      <c r="E76" s="11">
        <v>2.5</v>
      </c>
      <c r="F76" s="9">
        <f t="shared" si="5"/>
        <v>5</v>
      </c>
      <c r="G76" s="3" t="str">
        <f t="shared" si="6"/>
        <v/>
      </c>
      <c r="H76" s="3">
        <v>0</v>
      </c>
      <c r="I76" s="3">
        <v>0</v>
      </c>
      <c r="J76" s="3" t="str">
        <f t="shared" si="7"/>
        <v/>
      </c>
      <c r="K76" s="3" t="str">
        <f t="shared" si="8"/>
        <v/>
      </c>
      <c r="L76" s="9" t="str">
        <f t="shared" si="9"/>
        <v/>
      </c>
      <c r="N76" s="3"/>
      <c r="O76" s="15">
        <v>2</v>
      </c>
    </row>
    <row r="77" spans="1:15" x14ac:dyDescent="0.25">
      <c r="A77" t="s">
        <v>184</v>
      </c>
      <c r="B77" s="3" t="s">
        <v>33</v>
      </c>
      <c r="C77" s="3" t="s">
        <v>61</v>
      </c>
      <c r="D77" s="4">
        <v>1</v>
      </c>
      <c r="E77" s="11">
        <v>17</v>
      </c>
      <c r="F77" s="9">
        <f t="shared" si="5"/>
        <v>17</v>
      </c>
      <c r="G77" s="3" t="str">
        <f t="shared" si="6"/>
        <v/>
      </c>
      <c r="J77" s="3" t="str">
        <f t="shared" si="7"/>
        <v/>
      </c>
      <c r="K77" s="3" t="str">
        <f t="shared" si="8"/>
        <v/>
      </c>
      <c r="L77" s="9" t="str">
        <f t="shared" si="9"/>
        <v/>
      </c>
      <c r="M77" s="3">
        <v>1</v>
      </c>
      <c r="N77" s="3"/>
      <c r="O77" s="15">
        <v>0</v>
      </c>
    </row>
    <row r="78" spans="1:15" x14ac:dyDescent="0.25">
      <c r="A78" s="2" t="s">
        <v>185</v>
      </c>
      <c r="B78" s="3" t="s">
        <v>33</v>
      </c>
      <c r="C78" s="3" t="s">
        <v>61</v>
      </c>
      <c r="D78" s="4">
        <v>-5</v>
      </c>
      <c r="E78" s="11">
        <v>75</v>
      </c>
      <c r="F78" s="9">
        <f t="shared" si="5"/>
        <v>-375</v>
      </c>
      <c r="G78" s="3" t="str">
        <f t="shared" si="6"/>
        <v/>
      </c>
      <c r="H78" s="3">
        <v>0</v>
      </c>
      <c r="I78" s="3">
        <v>0</v>
      </c>
      <c r="J78" s="3" t="str">
        <f t="shared" si="7"/>
        <v/>
      </c>
      <c r="K78" s="3" t="str">
        <f t="shared" si="8"/>
        <v/>
      </c>
      <c r="L78" s="9" t="str">
        <f t="shared" si="9"/>
        <v/>
      </c>
      <c r="N78" s="3">
        <v>6</v>
      </c>
      <c r="O78" s="15">
        <v>2</v>
      </c>
    </row>
    <row r="79" spans="1:15" x14ac:dyDescent="0.25">
      <c r="A79" s="2" t="s">
        <v>186</v>
      </c>
      <c r="B79" s="3" t="s">
        <v>33</v>
      </c>
      <c r="C79" s="3" t="s">
        <v>61</v>
      </c>
      <c r="D79" s="4">
        <v>1</v>
      </c>
      <c r="E79" s="11">
        <v>99</v>
      </c>
      <c r="F79" s="9">
        <f t="shared" si="5"/>
        <v>99</v>
      </c>
      <c r="G79" s="3" t="str">
        <f t="shared" si="6"/>
        <v/>
      </c>
      <c r="H79" s="3">
        <v>0</v>
      </c>
      <c r="I79" s="3">
        <v>0</v>
      </c>
      <c r="J79" s="3" t="str">
        <f t="shared" si="7"/>
        <v/>
      </c>
      <c r="K79" s="3" t="str">
        <f t="shared" si="8"/>
        <v/>
      </c>
      <c r="L79" s="9" t="str">
        <f t="shared" si="9"/>
        <v/>
      </c>
      <c r="N79" s="3"/>
      <c r="O79" s="15">
        <v>1</v>
      </c>
    </row>
    <row r="80" spans="1:15" x14ac:dyDescent="0.25">
      <c r="A80" s="2" t="s">
        <v>187</v>
      </c>
      <c r="B80" s="3" t="s">
        <v>33</v>
      </c>
      <c r="C80" s="3" t="s">
        <v>61</v>
      </c>
      <c r="D80" s="4">
        <v>1</v>
      </c>
      <c r="E80" s="11">
        <v>99</v>
      </c>
      <c r="F80" s="9">
        <f t="shared" si="5"/>
        <v>99</v>
      </c>
      <c r="G80" s="3" t="str">
        <f t="shared" si="6"/>
        <v/>
      </c>
      <c r="H80" s="3">
        <v>0</v>
      </c>
      <c r="I80" s="3">
        <v>0</v>
      </c>
      <c r="J80" s="3" t="str">
        <f t="shared" si="7"/>
        <v/>
      </c>
      <c r="K80" s="3" t="str">
        <f t="shared" si="8"/>
        <v/>
      </c>
      <c r="L80" s="9" t="str">
        <f t="shared" si="9"/>
        <v/>
      </c>
      <c r="N80" s="3"/>
      <c r="O80" s="15">
        <v>1</v>
      </c>
    </row>
    <row r="81" spans="1:15" x14ac:dyDescent="0.25">
      <c r="A81" t="s">
        <v>188</v>
      </c>
      <c r="B81" s="3" t="s">
        <v>83</v>
      </c>
      <c r="C81" s="3" t="s">
        <v>61</v>
      </c>
      <c r="D81" s="4">
        <v>-14.600000000000001</v>
      </c>
      <c r="E81" s="11">
        <v>33</v>
      </c>
      <c r="F81" s="9">
        <f t="shared" si="5"/>
        <v>-481.80000000000007</v>
      </c>
      <c r="G81" s="3" t="str">
        <f t="shared" si="6"/>
        <v/>
      </c>
      <c r="J81" s="3" t="str">
        <f t="shared" si="7"/>
        <v/>
      </c>
      <c r="K81" s="3" t="str">
        <f t="shared" si="8"/>
        <v/>
      </c>
      <c r="L81" s="9" t="str">
        <f t="shared" si="9"/>
        <v/>
      </c>
      <c r="M81" s="3">
        <v>1</v>
      </c>
      <c r="N81" s="3">
        <v>6</v>
      </c>
      <c r="O81" s="15">
        <v>0</v>
      </c>
    </row>
    <row r="82" spans="1:15" x14ac:dyDescent="0.25">
      <c r="A82" s="2" t="s">
        <v>189</v>
      </c>
      <c r="B82" s="3" t="s">
        <v>33</v>
      </c>
      <c r="C82" s="3" t="s">
        <v>61</v>
      </c>
      <c r="D82" s="4">
        <v>-4</v>
      </c>
      <c r="E82" s="11">
        <v>10</v>
      </c>
      <c r="F82" s="9">
        <f t="shared" si="5"/>
        <v>-40</v>
      </c>
      <c r="G82" s="3" t="str">
        <f t="shared" si="6"/>
        <v/>
      </c>
      <c r="H82" s="3">
        <v>0</v>
      </c>
      <c r="I82" s="3">
        <v>0</v>
      </c>
      <c r="J82" s="3" t="str">
        <f t="shared" si="7"/>
        <v/>
      </c>
      <c r="K82" s="3" t="str">
        <f t="shared" si="8"/>
        <v/>
      </c>
      <c r="L82" s="9" t="str">
        <f t="shared" si="9"/>
        <v/>
      </c>
      <c r="N82" s="3">
        <v>2</v>
      </c>
      <c r="O82" s="15">
        <v>8</v>
      </c>
    </row>
    <row r="83" spans="1:15" x14ac:dyDescent="0.25">
      <c r="A83" s="2" t="s">
        <v>190</v>
      </c>
      <c r="B83" s="3" t="s">
        <v>33</v>
      </c>
      <c r="C83" s="3" t="s">
        <v>61</v>
      </c>
      <c r="D83" s="4">
        <v>3</v>
      </c>
      <c r="E83" s="11">
        <v>1.85</v>
      </c>
      <c r="F83" s="9">
        <f t="shared" si="5"/>
        <v>5.5500000000000007</v>
      </c>
      <c r="G83" s="3" t="str">
        <f t="shared" si="6"/>
        <v/>
      </c>
      <c r="H83" s="3">
        <v>0</v>
      </c>
      <c r="I83" s="3">
        <v>0</v>
      </c>
      <c r="J83" s="3" t="str">
        <f t="shared" si="7"/>
        <v/>
      </c>
      <c r="K83" s="3" t="str">
        <f t="shared" si="8"/>
        <v/>
      </c>
      <c r="L83" s="9" t="str">
        <f t="shared" si="9"/>
        <v/>
      </c>
      <c r="N83" s="3"/>
      <c r="O83" s="15">
        <v>3</v>
      </c>
    </row>
    <row r="84" spans="1:15" x14ac:dyDescent="0.25">
      <c r="A84" t="s">
        <v>439</v>
      </c>
      <c r="B84" s="3" t="s">
        <v>8</v>
      </c>
      <c r="C84" s="3" t="s">
        <v>40</v>
      </c>
      <c r="D84" s="4">
        <v>5</v>
      </c>
      <c r="E84" s="11">
        <v>11.83</v>
      </c>
      <c r="F84" s="9">
        <f t="shared" si="5"/>
        <v>59.15</v>
      </c>
      <c r="G84" s="3" t="str">
        <f t="shared" si="6"/>
        <v/>
      </c>
      <c r="J84" s="3" t="str">
        <f t="shared" si="7"/>
        <v/>
      </c>
      <c r="K84" s="3" t="str">
        <f t="shared" si="8"/>
        <v/>
      </c>
      <c r="L84" s="9" t="str">
        <f t="shared" si="9"/>
        <v/>
      </c>
      <c r="M84" s="3">
        <v>1</v>
      </c>
      <c r="N84" s="3"/>
      <c r="O84" s="15">
        <v>0</v>
      </c>
    </row>
    <row r="85" spans="1:15" x14ac:dyDescent="0.25">
      <c r="A85" s="2" t="s">
        <v>191</v>
      </c>
      <c r="B85" s="3" t="s">
        <v>33</v>
      </c>
      <c r="C85" s="3" t="s">
        <v>40</v>
      </c>
      <c r="D85" s="4">
        <v>13</v>
      </c>
      <c r="E85" s="11">
        <v>1</v>
      </c>
      <c r="F85" s="9">
        <f t="shared" si="5"/>
        <v>13</v>
      </c>
      <c r="G85" s="3" t="str">
        <f t="shared" si="6"/>
        <v/>
      </c>
      <c r="H85" s="3">
        <v>0</v>
      </c>
      <c r="I85" s="3">
        <v>0</v>
      </c>
      <c r="J85" s="3" t="str">
        <f t="shared" si="7"/>
        <v/>
      </c>
      <c r="K85" s="3" t="str">
        <f t="shared" si="8"/>
        <v/>
      </c>
      <c r="L85" s="9" t="str">
        <f t="shared" si="9"/>
        <v/>
      </c>
      <c r="N85" s="3">
        <v>2</v>
      </c>
      <c r="O85" s="15">
        <v>18</v>
      </c>
    </row>
    <row r="86" spans="1:15" x14ac:dyDescent="0.25">
      <c r="A86" s="2" t="s">
        <v>192</v>
      </c>
      <c r="B86" s="3" t="s">
        <v>8</v>
      </c>
      <c r="C86" s="3" t="s">
        <v>40</v>
      </c>
      <c r="D86" s="4">
        <v>2</v>
      </c>
      <c r="E86" s="11">
        <v>0.89</v>
      </c>
      <c r="F86" s="9">
        <f t="shared" si="5"/>
        <v>1.78</v>
      </c>
      <c r="G86" s="3" t="str">
        <f t="shared" si="6"/>
        <v/>
      </c>
      <c r="H86" s="3">
        <v>0</v>
      </c>
      <c r="I86" s="3">
        <v>0</v>
      </c>
      <c r="J86" s="3" t="str">
        <f t="shared" si="7"/>
        <v/>
      </c>
      <c r="K86" s="3" t="str">
        <f t="shared" si="8"/>
        <v/>
      </c>
      <c r="L86" s="9" t="str">
        <f t="shared" si="9"/>
        <v/>
      </c>
      <c r="N86" s="3"/>
      <c r="O86" s="15">
        <v>2</v>
      </c>
    </row>
    <row r="87" spans="1:15" x14ac:dyDescent="0.25">
      <c r="A87" t="s">
        <v>63</v>
      </c>
      <c r="B87" s="3" t="s">
        <v>8</v>
      </c>
      <c r="C87" s="3" t="s">
        <v>64</v>
      </c>
      <c r="D87" s="18">
        <v>10</v>
      </c>
      <c r="E87" s="11">
        <v>5.0999999999999996</v>
      </c>
      <c r="F87" s="9">
        <f t="shared" si="5"/>
        <v>51</v>
      </c>
      <c r="G87" s="3" t="str">
        <f t="shared" si="6"/>
        <v/>
      </c>
      <c r="H87" s="3">
        <v>0</v>
      </c>
      <c r="I87" s="3">
        <v>0</v>
      </c>
      <c r="J87" s="3" t="str">
        <f t="shared" si="7"/>
        <v/>
      </c>
      <c r="K87" s="3" t="str">
        <f t="shared" si="8"/>
        <v/>
      </c>
      <c r="L87" s="9" t="str">
        <f t="shared" si="9"/>
        <v/>
      </c>
      <c r="N87" s="3"/>
      <c r="O87" s="16">
        <v>10</v>
      </c>
    </row>
    <row r="88" spans="1:15" x14ac:dyDescent="0.25">
      <c r="A88" t="s">
        <v>193</v>
      </c>
      <c r="B88" s="3" t="s">
        <v>8</v>
      </c>
      <c r="C88" s="3" t="s">
        <v>40</v>
      </c>
      <c r="D88" s="18">
        <v>24.799999999999997</v>
      </c>
      <c r="E88" s="11">
        <v>77</v>
      </c>
      <c r="F88" s="9">
        <f t="shared" si="5"/>
        <v>1909.5999999999997</v>
      </c>
      <c r="G88" s="3" t="str">
        <f t="shared" si="6"/>
        <v/>
      </c>
      <c r="H88" s="3">
        <v>0</v>
      </c>
      <c r="I88" s="3">
        <v>0</v>
      </c>
      <c r="J88" s="3" t="str">
        <f t="shared" si="7"/>
        <v/>
      </c>
      <c r="K88" s="3" t="str">
        <f t="shared" si="8"/>
        <v/>
      </c>
      <c r="L88" s="9" t="str">
        <f t="shared" si="9"/>
        <v/>
      </c>
      <c r="M88" s="3">
        <v>3</v>
      </c>
      <c r="N88" s="3">
        <v>2</v>
      </c>
      <c r="O88" s="16">
        <v>10</v>
      </c>
    </row>
    <row r="89" spans="1:15" x14ac:dyDescent="0.25">
      <c r="A89" s="2" t="s">
        <v>194</v>
      </c>
      <c r="B89" s="3" t="s">
        <v>33</v>
      </c>
      <c r="C89" s="3" t="s">
        <v>40</v>
      </c>
      <c r="D89" s="4">
        <v>39</v>
      </c>
      <c r="E89" s="11">
        <v>23.28</v>
      </c>
      <c r="F89" s="9">
        <f t="shared" si="5"/>
        <v>907.92000000000007</v>
      </c>
      <c r="G89" s="3" t="str">
        <f t="shared" si="6"/>
        <v/>
      </c>
      <c r="H89" s="3">
        <v>0</v>
      </c>
      <c r="I89" s="3">
        <v>0</v>
      </c>
      <c r="J89" s="3" t="str">
        <f t="shared" si="7"/>
        <v/>
      </c>
      <c r="K89" s="3" t="str">
        <f t="shared" si="8"/>
        <v/>
      </c>
      <c r="L89" s="9" t="str">
        <f t="shared" si="9"/>
        <v/>
      </c>
      <c r="M89" s="3">
        <v>2</v>
      </c>
      <c r="N89" s="3">
        <v>6</v>
      </c>
      <c r="O89" s="15">
        <v>46</v>
      </c>
    </row>
    <row r="90" spans="1:15" x14ac:dyDescent="0.25">
      <c r="A90" s="2" t="s">
        <v>65</v>
      </c>
      <c r="B90" s="3" t="s">
        <v>8</v>
      </c>
      <c r="C90" s="3" t="s">
        <v>40</v>
      </c>
      <c r="D90" s="4">
        <v>6</v>
      </c>
      <c r="E90" s="11">
        <v>4.5999999999999996</v>
      </c>
      <c r="F90" s="9">
        <f t="shared" si="5"/>
        <v>27.599999999999998</v>
      </c>
      <c r="G90" s="3" t="str">
        <f t="shared" si="6"/>
        <v/>
      </c>
      <c r="H90" s="3">
        <v>0</v>
      </c>
      <c r="I90" s="3">
        <v>0</v>
      </c>
      <c r="J90" s="3" t="str">
        <f t="shared" si="7"/>
        <v/>
      </c>
      <c r="K90" s="3" t="str">
        <f t="shared" si="8"/>
        <v/>
      </c>
      <c r="L90" s="9" t="str">
        <f t="shared" si="9"/>
        <v/>
      </c>
      <c r="N90" s="3"/>
      <c r="O90" s="15">
        <v>6</v>
      </c>
    </row>
    <row r="91" spans="1:15" x14ac:dyDescent="0.25">
      <c r="A91" s="2" t="s">
        <v>195</v>
      </c>
      <c r="B91" s="3" t="s">
        <v>33</v>
      </c>
      <c r="C91" s="3" t="s">
        <v>40</v>
      </c>
      <c r="D91" s="4">
        <v>1</v>
      </c>
      <c r="E91" s="11">
        <v>16</v>
      </c>
      <c r="F91" s="9">
        <f t="shared" si="5"/>
        <v>16</v>
      </c>
      <c r="G91" s="3" t="str">
        <f t="shared" si="6"/>
        <v/>
      </c>
      <c r="H91" s="3">
        <v>0</v>
      </c>
      <c r="I91" s="3">
        <v>0</v>
      </c>
      <c r="J91" s="3" t="str">
        <f t="shared" si="7"/>
        <v/>
      </c>
      <c r="K91" s="3" t="str">
        <f t="shared" si="8"/>
        <v/>
      </c>
      <c r="L91" s="9" t="str">
        <f t="shared" si="9"/>
        <v/>
      </c>
      <c r="N91" s="3"/>
      <c r="O91" s="15">
        <v>1</v>
      </c>
    </row>
    <row r="92" spans="1:15" x14ac:dyDescent="0.25">
      <c r="A92" t="s">
        <v>196</v>
      </c>
      <c r="B92" s="3" t="s">
        <v>33</v>
      </c>
      <c r="C92" s="3" t="s">
        <v>40</v>
      </c>
      <c r="D92" s="4">
        <v>70.5</v>
      </c>
      <c r="E92" s="11">
        <v>32</v>
      </c>
      <c r="F92" s="9">
        <f t="shared" si="5"/>
        <v>2256</v>
      </c>
      <c r="G92" s="3" t="str">
        <f t="shared" si="6"/>
        <v/>
      </c>
      <c r="J92" s="3" t="str">
        <f t="shared" si="7"/>
        <v/>
      </c>
      <c r="K92" s="3" t="str">
        <f t="shared" si="8"/>
        <v/>
      </c>
      <c r="L92" s="9" t="str">
        <f t="shared" si="9"/>
        <v/>
      </c>
      <c r="M92" s="3">
        <v>2</v>
      </c>
      <c r="N92" s="3">
        <v>5</v>
      </c>
      <c r="O92" s="15">
        <v>0</v>
      </c>
    </row>
    <row r="93" spans="1:15" x14ac:dyDescent="0.25">
      <c r="A93" t="s">
        <v>197</v>
      </c>
      <c r="B93" s="3" t="s">
        <v>8</v>
      </c>
      <c r="C93" s="3" t="s">
        <v>40</v>
      </c>
      <c r="D93" s="4">
        <v>129.55000000000001</v>
      </c>
      <c r="E93" s="11">
        <v>15</v>
      </c>
      <c r="F93" s="9">
        <f t="shared" si="5"/>
        <v>1943.2500000000002</v>
      </c>
      <c r="G93" s="3" t="str">
        <f t="shared" si="6"/>
        <v/>
      </c>
      <c r="J93" s="3" t="str">
        <f t="shared" si="7"/>
        <v/>
      </c>
      <c r="K93" s="3" t="str">
        <f t="shared" si="8"/>
        <v/>
      </c>
      <c r="L93" s="9" t="str">
        <f t="shared" si="9"/>
        <v/>
      </c>
      <c r="M93" s="3">
        <v>1</v>
      </c>
      <c r="N93" s="3">
        <v>5</v>
      </c>
      <c r="O93" s="15">
        <v>0</v>
      </c>
    </row>
    <row r="94" spans="1:15" x14ac:dyDescent="0.25">
      <c r="A94" s="2" t="s">
        <v>66</v>
      </c>
      <c r="B94" s="3" t="s">
        <v>8</v>
      </c>
      <c r="C94" s="3" t="s">
        <v>40</v>
      </c>
      <c r="D94" s="4">
        <v>1</v>
      </c>
      <c r="E94" s="11">
        <v>8.5</v>
      </c>
      <c r="F94" s="9">
        <f t="shared" si="5"/>
        <v>8.5</v>
      </c>
      <c r="G94" s="3" t="str">
        <f t="shared" si="6"/>
        <v/>
      </c>
      <c r="H94" s="3">
        <v>0</v>
      </c>
      <c r="I94" s="3">
        <v>0</v>
      </c>
      <c r="J94" s="3" t="str">
        <f t="shared" si="7"/>
        <v/>
      </c>
      <c r="K94" s="3" t="str">
        <f t="shared" si="8"/>
        <v/>
      </c>
      <c r="L94" s="9" t="str">
        <f t="shared" si="9"/>
        <v/>
      </c>
      <c r="N94" s="3">
        <v>1</v>
      </c>
      <c r="O94" s="15">
        <v>5</v>
      </c>
    </row>
    <row r="95" spans="1:15" x14ac:dyDescent="0.25">
      <c r="A95" s="2" t="s">
        <v>67</v>
      </c>
      <c r="B95" s="3" t="s">
        <v>8</v>
      </c>
      <c r="C95" s="3" t="s">
        <v>40</v>
      </c>
      <c r="D95" s="4">
        <v>13</v>
      </c>
      <c r="E95" s="11">
        <v>8.25</v>
      </c>
      <c r="F95" s="9">
        <f t="shared" si="5"/>
        <v>107.25</v>
      </c>
      <c r="G95" s="3" t="str">
        <f t="shared" si="6"/>
        <v/>
      </c>
      <c r="H95" s="3">
        <v>0</v>
      </c>
      <c r="I95" s="3">
        <v>0</v>
      </c>
      <c r="J95" s="3" t="str">
        <f t="shared" si="7"/>
        <v/>
      </c>
      <c r="K95" s="3" t="str">
        <f t="shared" si="8"/>
        <v/>
      </c>
      <c r="L95" s="9" t="str">
        <f t="shared" si="9"/>
        <v/>
      </c>
      <c r="N95" s="3">
        <v>6</v>
      </c>
      <c r="O95" s="15">
        <v>25</v>
      </c>
    </row>
    <row r="96" spans="1:15" x14ac:dyDescent="0.25">
      <c r="A96" t="s">
        <v>198</v>
      </c>
      <c r="B96" s="3" t="s">
        <v>8</v>
      </c>
      <c r="C96" s="3" t="s">
        <v>40</v>
      </c>
      <c r="D96" s="18">
        <v>118.25</v>
      </c>
      <c r="E96" s="11">
        <v>16</v>
      </c>
      <c r="F96" s="9">
        <f t="shared" si="5"/>
        <v>1892</v>
      </c>
      <c r="G96" s="3" t="str">
        <f t="shared" si="6"/>
        <v/>
      </c>
      <c r="H96" s="3">
        <v>0</v>
      </c>
      <c r="I96" s="3">
        <v>0</v>
      </c>
      <c r="J96" s="3" t="str">
        <f t="shared" si="7"/>
        <v/>
      </c>
      <c r="K96" s="3" t="str">
        <f t="shared" si="8"/>
        <v/>
      </c>
      <c r="L96" s="9" t="str">
        <f t="shared" si="9"/>
        <v/>
      </c>
      <c r="N96" s="3">
        <v>3</v>
      </c>
      <c r="O96" s="16">
        <v>145</v>
      </c>
    </row>
    <row r="97" spans="1:15" x14ac:dyDescent="0.25">
      <c r="A97" s="2" t="s">
        <v>68</v>
      </c>
      <c r="B97" s="3" t="s">
        <v>60</v>
      </c>
      <c r="C97" s="3" t="s">
        <v>40</v>
      </c>
      <c r="D97" s="4">
        <v>5</v>
      </c>
      <c r="E97" s="11">
        <v>7.17</v>
      </c>
      <c r="F97" s="9">
        <f t="shared" si="5"/>
        <v>35.85</v>
      </c>
      <c r="G97" s="3" t="str">
        <f t="shared" si="6"/>
        <v/>
      </c>
      <c r="H97" s="3">
        <v>0</v>
      </c>
      <c r="I97" s="3">
        <v>0</v>
      </c>
      <c r="J97" s="3" t="str">
        <f t="shared" si="7"/>
        <v/>
      </c>
      <c r="K97" s="3" t="str">
        <f t="shared" si="8"/>
        <v/>
      </c>
      <c r="L97" s="9" t="str">
        <f t="shared" si="9"/>
        <v/>
      </c>
      <c r="N97" s="3">
        <v>2</v>
      </c>
      <c r="O97" s="15">
        <v>15</v>
      </c>
    </row>
    <row r="98" spans="1:15" x14ac:dyDescent="0.25">
      <c r="A98" s="2" t="s">
        <v>199</v>
      </c>
      <c r="B98" s="3" t="s">
        <v>60</v>
      </c>
      <c r="C98" s="3" t="s">
        <v>40</v>
      </c>
      <c r="D98" s="4">
        <v>47</v>
      </c>
      <c r="E98" s="11">
        <v>13.6</v>
      </c>
      <c r="F98" s="9">
        <f t="shared" si="5"/>
        <v>639.19999999999993</v>
      </c>
      <c r="G98" s="3" t="str">
        <f t="shared" si="6"/>
        <v/>
      </c>
      <c r="H98" s="3">
        <v>0</v>
      </c>
      <c r="I98" s="3">
        <v>0</v>
      </c>
      <c r="J98" s="3" t="str">
        <f t="shared" si="7"/>
        <v/>
      </c>
      <c r="K98" s="3" t="str">
        <f t="shared" si="8"/>
        <v/>
      </c>
      <c r="L98" s="9" t="str">
        <f t="shared" si="9"/>
        <v/>
      </c>
      <c r="N98" s="3"/>
      <c r="O98" s="15">
        <v>47</v>
      </c>
    </row>
    <row r="99" spans="1:15" x14ac:dyDescent="0.25">
      <c r="A99" s="2" t="s">
        <v>440</v>
      </c>
      <c r="B99" s="3" t="s">
        <v>8</v>
      </c>
      <c r="C99" s="3" t="s">
        <v>40</v>
      </c>
      <c r="D99" s="4">
        <v>615</v>
      </c>
      <c r="E99" s="11">
        <v>7.4799999999999995</v>
      </c>
      <c r="F99" s="9">
        <f t="shared" si="5"/>
        <v>4600.2</v>
      </c>
      <c r="G99" s="3" t="str">
        <f t="shared" si="6"/>
        <v/>
      </c>
      <c r="H99" s="3">
        <v>0</v>
      </c>
      <c r="I99" s="3">
        <v>0</v>
      </c>
      <c r="J99" s="3" t="str">
        <f t="shared" si="7"/>
        <v/>
      </c>
      <c r="K99" s="3" t="str">
        <f t="shared" si="8"/>
        <v/>
      </c>
      <c r="L99" s="9" t="str">
        <f t="shared" si="9"/>
        <v/>
      </c>
      <c r="M99" s="3">
        <v>1</v>
      </c>
      <c r="N99" s="3">
        <v>3</v>
      </c>
      <c r="O99" s="15">
        <v>55</v>
      </c>
    </row>
    <row r="100" spans="1:15" x14ac:dyDescent="0.25">
      <c r="A100" s="2" t="s">
        <v>69</v>
      </c>
      <c r="B100" s="3" t="s">
        <v>8</v>
      </c>
      <c r="C100" s="3" t="s">
        <v>40</v>
      </c>
      <c r="D100" s="4">
        <v>10</v>
      </c>
      <c r="E100" s="11">
        <v>6.55</v>
      </c>
      <c r="F100" s="9">
        <f t="shared" si="5"/>
        <v>65.5</v>
      </c>
      <c r="G100" s="3" t="str">
        <f t="shared" si="6"/>
        <v/>
      </c>
      <c r="H100" s="3">
        <v>0</v>
      </c>
      <c r="I100" s="3">
        <v>0</v>
      </c>
      <c r="J100" s="3" t="str">
        <f t="shared" si="7"/>
        <v/>
      </c>
      <c r="K100" s="3" t="str">
        <f t="shared" si="8"/>
        <v/>
      </c>
      <c r="L100" s="9" t="str">
        <f t="shared" si="9"/>
        <v/>
      </c>
      <c r="N100" s="3"/>
      <c r="O100" s="15">
        <v>10</v>
      </c>
    </row>
    <row r="101" spans="1:15" x14ac:dyDescent="0.25">
      <c r="A101" t="s">
        <v>70</v>
      </c>
      <c r="B101" s="3" t="s">
        <v>8</v>
      </c>
      <c r="C101" s="3" t="s">
        <v>64</v>
      </c>
      <c r="D101" s="18">
        <v>75</v>
      </c>
      <c r="E101" s="11">
        <v>14.55</v>
      </c>
      <c r="F101" s="9">
        <f t="shared" si="5"/>
        <v>1091.25</v>
      </c>
      <c r="G101" s="3" t="str">
        <f t="shared" si="6"/>
        <v/>
      </c>
      <c r="H101" s="3">
        <v>0</v>
      </c>
      <c r="I101" s="3">
        <v>0</v>
      </c>
      <c r="J101" s="3" t="str">
        <f t="shared" si="7"/>
        <v/>
      </c>
      <c r="K101" s="3" t="str">
        <f t="shared" si="8"/>
        <v/>
      </c>
      <c r="L101" s="9" t="str">
        <f t="shared" si="9"/>
        <v/>
      </c>
      <c r="M101" s="3">
        <v>3</v>
      </c>
      <c r="N101" s="3">
        <v>10</v>
      </c>
      <c r="O101" s="16">
        <v>70</v>
      </c>
    </row>
    <row r="102" spans="1:15" x14ac:dyDescent="0.25">
      <c r="A102" s="2" t="s">
        <v>200</v>
      </c>
      <c r="B102" s="3" t="s">
        <v>33</v>
      </c>
      <c r="C102" s="3" t="s">
        <v>40</v>
      </c>
      <c r="D102" s="4">
        <v>96.5</v>
      </c>
      <c r="E102" s="11">
        <v>21.843126801392799</v>
      </c>
      <c r="F102" s="9">
        <f t="shared" si="5"/>
        <v>2107.8617363344051</v>
      </c>
      <c r="G102" s="3" t="str">
        <f t="shared" si="6"/>
        <v/>
      </c>
      <c r="H102" s="3">
        <v>0</v>
      </c>
      <c r="I102" s="3">
        <v>0</v>
      </c>
      <c r="J102" s="3" t="str">
        <f t="shared" si="7"/>
        <v/>
      </c>
      <c r="K102" s="3" t="str">
        <f t="shared" si="8"/>
        <v/>
      </c>
      <c r="L102" s="9" t="str">
        <f t="shared" si="9"/>
        <v/>
      </c>
      <c r="M102" s="3">
        <v>2</v>
      </c>
      <c r="N102" s="3">
        <v>16</v>
      </c>
      <c r="O102" s="15">
        <v>24</v>
      </c>
    </row>
    <row r="103" spans="1:15" x14ac:dyDescent="0.25">
      <c r="A103" s="2" t="s">
        <v>201</v>
      </c>
      <c r="B103" s="3" t="s">
        <v>8</v>
      </c>
      <c r="C103" s="3" t="s">
        <v>40</v>
      </c>
      <c r="D103" s="4">
        <v>22</v>
      </c>
      <c r="E103" s="11">
        <v>8.14</v>
      </c>
      <c r="F103" s="9">
        <f t="shared" si="5"/>
        <v>179.08</v>
      </c>
      <c r="G103" s="3" t="str">
        <f t="shared" si="6"/>
        <v/>
      </c>
      <c r="H103" s="3">
        <v>0</v>
      </c>
      <c r="I103" s="3">
        <v>0</v>
      </c>
      <c r="J103" s="3" t="str">
        <f t="shared" si="7"/>
        <v/>
      </c>
      <c r="K103" s="3" t="str">
        <f t="shared" si="8"/>
        <v/>
      </c>
      <c r="L103" s="9" t="str">
        <f t="shared" si="9"/>
        <v/>
      </c>
      <c r="N103" s="3"/>
      <c r="O103" s="15">
        <v>22</v>
      </c>
    </row>
    <row r="104" spans="1:15" x14ac:dyDescent="0.25">
      <c r="A104" s="2" t="s">
        <v>202</v>
      </c>
      <c r="B104" s="3" t="s">
        <v>33</v>
      </c>
      <c r="C104" s="3" t="s">
        <v>40</v>
      </c>
      <c r="D104" s="4">
        <v>11</v>
      </c>
      <c r="E104" s="11">
        <v>77.599999999999994</v>
      </c>
      <c r="F104" s="9">
        <f t="shared" si="5"/>
        <v>853.59999999999991</v>
      </c>
      <c r="G104" s="3" t="str">
        <f t="shared" si="6"/>
        <v/>
      </c>
      <c r="H104" s="3">
        <v>0</v>
      </c>
      <c r="I104" s="3">
        <v>0</v>
      </c>
      <c r="J104" s="3" t="str">
        <f t="shared" si="7"/>
        <v/>
      </c>
      <c r="K104" s="3" t="str">
        <f t="shared" si="8"/>
        <v/>
      </c>
      <c r="L104" s="9" t="str">
        <f t="shared" si="9"/>
        <v/>
      </c>
      <c r="N104" s="3"/>
      <c r="O104" s="15">
        <v>11</v>
      </c>
    </row>
    <row r="105" spans="1:15" x14ac:dyDescent="0.25">
      <c r="A105" s="2" t="s">
        <v>203</v>
      </c>
      <c r="B105" s="3" t="s">
        <v>8</v>
      </c>
      <c r="C105" s="3" t="s">
        <v>40</v>
      </c>
      <c r="D105" s="4">
        <v>23</v>
      </c>
      <c r="E105" s="11">
        <v>4</v>
      </c>
      <c r="F105" s="9">
        <f t="shared" si="5"/>
        <v>92</v>
      </c>
      <c r="G105" s="3" t="str">
        <f t="shared" si="6"/>
        <v/>
      </c>
      <c r="H105" s="3">
        <v>0</v>
      </c>
      <c r="I105" s="3">
        <v>0</v>
      </c>
      <c r="J105" s="3" t="str">
        <f t="shared" si="7"/>
        <v/>
      </c>
      <c r="K105" s="3" t="str">
        <f t="shared" si="8"/>
        <v/>
      </c>
      <c r="L105" s="9" t="str">
        <f t="shared" si="9"/>
        <v/>
      </c>
      <c r="N105" s="3">
        <v>1</v>
      </c>
      <c r="O105" s="15">
        <v>25</v>
      </c>
    </row>
    <row r="106" spans="1:15" x14ac:dyDescent="0.25">
      <c r="A106" s="2" t="s">
        <v>204</v>
      </c>
      <c r="B106" s="3" t="s">
        <v>33</v>
      </c>
      <c r="C106" s="3" t="s">
        <v>40</v>
      </c>
      <c r="D106" s="4">
        <v>23.199999999999996</v>
      </c>
      <c r="E106" s="11">
        <v>8</v>
      </c>
      <c r="F106" s="9">
        <f t="shared" si="5"/>
        <v>185.59999999999997</v>
      </c>
      <c r="G106" s="3" t="str">
        <f t="shared" si="6"/>
        <v/>
      </c>
      <c r="H106" s="3">
        <v>0</v>
      </c>
      <c r="I106" s="3">
        <v>0</v>
      </c>
      <c r="J106" s="3" t="str">
        <f t="shared" si="7"/>
        <v/>
      </c>
      <c r="K106" s="3" t="str">
        <f t="shared" si="8"/>
        <v/>
      </c>
      <c r="L106" s="9" t="str">
        <f t="shared" si="9"/>
        <v/>
      </c>
      <c r="M106" s="3">
        <v>3</v>
      </c>
      <c r="N106" s="3">
        <v>11</v>
      </c>
      <c r="O106" s="15">
        <v>4</v>
      </c>
    </row>
    <row r="107" spans="1:15" x14ac:dyDescent="0.25">
      <c r="A107" t="s">
        <v>71</v>
      </c>
      <c r="B107" s="3" t="s">
        <v>8</v>
      </c>
      <c r="C107" s="3" t="s">
        <v>64</v>
      </c>
      <c r="D107" s="18">
        <v>5</v>
      </c>
      <c r="E107" s="11">
        <v>32</v>
      </c>
      <c r="F107" s="9">
        <f t="shared" si="5"/>
        <v>160</v>
      </c>
      <c r="G107" s="3" t="str">
        <f t="shared" si="6"/>
        <v/>
      </c>
      <c r="H107" s="3">
        <v>0</v>
      </c>
      <c r="I107" s="3">
        <v>0</v>
      </c>
      <c r="J107" s="3" t="str">
        <f t="shared" si="7"/>
        <v/>
      </c>
      <c r="K107" s="3" t="str">
        <f t="shared" si="8"/>
        <v/>
      </c>
      <c r="L107" s="9" t="str">
        <f t="shared" si="9"/>
        <v/>
      </c>
      <c r="N107" s="3">
        <v>1</v>
      </c>
      <c r="O107" s="16">
        <v>10</v>
      </c>
    </row>
    <row r="108" spans="1:15" x14ac:dyDescent="0.25">
      <c r="A108" t="s">
        <v>441</v>
      </c>
      <c r="B108" s="3" t="s">
        <v>8</v>
      </c>
      <c r="C108" s="3" t="s">
        <v>40</v>
      </c>
      <c r="D108" s="4">
        <v>12.5</v>
      </c>
      <c r="E108" s="11">
        <v>6.01</v>
      </c>
      <c r="F108" s="9">
        <f t="shared" si="5"/>
        <v>75.125</v>
      </c>
      <c r="G108" s="3" t="str">
        <f t="shared" si="6"/>
        <v/>
      </c>
      <c r="J108" s="3" t="str">
        <f t="shared" si="7"/>
        <v/>
      </c>
      <c r="K108" s="3" t="str">
        <f t="shared" si="8"/>
        <v/>
      </c>
      <c r="L108" s="9" t="str">
        <f t="shared" si="9"/>
        <v/>
      </c>
      <c r="M108" s="3">
        <v>1</v>
      </c>
      <c r="N108" s="3">
        <v>2</v>
      </c>
      <c r="O108" s="15">
        <v>0</v>
      </c>
    </row>
    <row r="109" spans="1:15" x14ac:dyDescent="0.25">
      <c r="A109" t="s">
        <v>205</v>
      </c>
      <c r="B109" s="3" t="s">
        <v>60</v>
      </c>
      <c r="C109" s="3" t="s">
        <v>40</v>
      </c>
      <c r="D109" s="4">
        <v>80</v>
      </c>
      <c r="E109" s="11">
        <v>11.5</v>
      </c>
      <c r="F109" s="9">
        <f t="shared" si="5"/>
        <v>920</v>
      </c>
      <c r="G109" s="3" t="str">
        <f t="shared" si="6"/>
        <v/>
      </c>
      <c r="J109" s="3" t="str">
        <f t="shared" si="7"/>
        <v/>
      </c>
      <c r="K109" s="3" t="str">
        <f t="shared" si="8"/>
        <v/>
      </c>
      <c r="L109" s="9" t="str">
        <f t="shared" si="9"/>
        <v/>
      </c>
      <c r="M109" s="3">
        <v>3</v>
      </c>
      <c r="N109" s="3">
        <v>1</v>
      </c>
      <c r="O109" s="15">
        <v>0</v>
      </c>
    </row>
    <row r="110" spans="1:15" x14ac:dyDescent="0.25">
      <c r="A110" s="2" t="s">
        <v>72</v>
      </c>
      <c r="B110" s="3" t="s">
        <v>60</v>
      </c>
      <c r="C110" s="3" t="s">
        <v>40</v>
      </c>
      <c r="D110" s="4">
        <v>14</v>
      </c>
      <c r="E110" s="11">
        <v>5.62</v>
      </c>
      <c r="F110" s="9">
        <f t="shared" si="5"/>
        <v>78.680000000000007</v>
      </c>
      <c r="G110" s="3" t="str">
        <f t="shared" si="6"/>
        <v/>
      </c>
      <c r="H110" s="3">
        <v>0</v>
      </c>
      <c r="I110" s="3">
        <v>0</v>
      </c>
      <c r="J110" s="3" t="str">
        <f t="shared" si="7"/>
        <v/>
      </c>
      <c r="K110" s="3" t="str">
        <f t="shared" si="8"/>
        <v/>
      </c>
      <c r="L110" s="9" t="str">
        <f t="shared" si="9"/>
        <v/>
      </c>
      <c r="N110" s="3">
        <v>2</v>
      </c>
      <c r="O110" s="15">
        <v>20</v>
      </c>
    </row>
    <row r="111" spans="1:15" x14ac:dyDescent="0.25">
      <c r="A111" t="s">
        <v>206</v>
      </c>
      <c r="B111" s="3" t="s">
        <v>8</v>
      </c>
      <c r="C111" s="3" t="s">
        <v>40</v>
      </c>
      <c r="D111" s="4">
        <v>0</v>
      </c>
      <c r="E111" s="11">
        <v>5.75</v>
      </c>
      <c r="F111" s="9">
        <f t="shared" si="5"/>
        <v>0</v>
      </c>
      <c r="G111" s="3" t="str">
        <f t="shared" si="6"/>
        <v/>
      </c>
      <c r="J111" s="3" t="str">
        <f t="shared" si="7"/>
        <v/>
      </c>
      <c r="K111" s="3" t="str">
        <f t="shared" si="8"/>
        <v/>
      </c>
      <c r="L111" s="9" t="str">
        <f t="shared" si="9"/>
        <v/>
      </c>
      <c r="M111" s="3">
        <v>1</v>
      </c>
      <c r="N111" s="3">
        <v>1</v>
      </c>
      <c r="O111" s="15">
        <v>0</v>
      </c>
    </row>
    <row r="112" spans="1:15" x14ac:dyDescent="0.25">
      <c r="A112" s="2" t="s">
        <v>442</v>
      </c>
      <c r="B112" s="3" t="s">
        <v>8</v>
      </c>
      <c r="C112" s="3" t="s">
        <v>40</v>
      </c>
      <c r="D112" s="4">
        <v>207.65</v>
      </c>
      <c r="E112" s="11">
        <v>7.8</v>
      </c>
      <c r="F112" s="9">
        <f t="shared" si="5"/>
        <v>1619.67</v>
      </c>
      <c r="G112" s="3" t="str">
        <f t="shared" si="6"/>
        <v/>
      </c>
      <c r="H112" s="3">
        <v>0</v>
      </c>
      <c r="I112" s="3">
        <v>0</v>
      </c>
      <c r="J112" s="3" t="str">
        <f t="shared" si="7"/>
        <v/>
      </c>
      <c r="K112" s="3" t="str">
        <f t="shared" si="8"/>
        <v/>
      </c>
      <c r="L112" s="9" t="str">
        <f t="shared" si="9"/>
        <v/>
      </c>
      <c r="N112" s="3">
        <v>12</v>
      </c>
      <c r="O112" s="15">
        <v>250</v>
      </c>
    </row>
    <row r="113" spans="1:15" x14ac:dyDescent="0.25">
      <c r="A113" s="2" t="s">
        <v>207</v>
      </c>
      <c r="B113" s="3" t="s">
        <v>8</v>
      </c>
      <c r="C113" s="3" t="s">
        <v>40</v>
      </c>
      <c r="D113" s="4">
        <v>-16</v>
      </c>
      <c r="E113" s="11">
        <v>9.4499999999999993</v>
      </c>
      <c r="F113" s="9">
        <f t="shared" si="5"/>
        <v>-151.19999999999999</v>
      </c>
      <c r="G113" s="3" t="str">
        <f t="shared" si="6"/>
        <v/>
      </c>
      <c r="H113" s="3">
        <v>0</v>
      </c>
      <c r="I113" s="3">
        <v>0</v>
      </c>
      <c r="J113" s="3" t="str">
        <f t="shared" si="7"/>
        <v/>
      </c>
      <c r="K113" s="3" t="str">
        <f t="shared" si="8"/>
        <v/>
      </c>
      <c r="L113" s="9" t="str">
        <f t="shared" si="9"/>
        <v/>
      </c>
      <c r="N113" s="3">
        <v>1</v>
      </c>
      <c r="O113" s="15">
        <v>7</v>
      </c>
    </row>
    <row r="114" spans="1:15" x14ac:dyDescent="0.25">
      <c r="A114" t="s">
        <v>208</v>
      </c>
      <c r="B114" s="3" t="s">
        <v>8</v>
      </c>
      <c r="C114" s="3" t="s">
        <v>40</v>
      </c>
      <c r="D114" s="4">
        <v>8</v>
      </c>
      <c r="E114" s="11">
        <v>2.4</v>
      </c>
      <c r="F114" s="9">
        <f t="shared" si="5"/>
        <v>19.2</v>
      </c>
      <c r="G114" s="3" t="str">
        <f t="shared" si="6"/>
        <v/>
      </c>
      <c r="J114" s="3" t="str">
        <f t="shared" si="7"/>
        <v/>
      </c>
      <c r="K114" s="3" t="str">
        <f t="shared" si="8"/>
        <v/>
      </c>
      <c r="L114" s="9" t="str">
        <f t="shared" si="9"/>
        <v/>
      </c>
      <c r="M114" s="3">
        <v>1</v>
      </c>
      <c r="N114" s="3">
        <v>4</v>
      </c>
      <c r="O114" s="15">
        <v>0</v>
      </c>
    </row>
    <row r="115" spans="1:15" x14ac:dyDescent="0.25">
      <c r="A115" s="2" t="s">
        <v>73</v>
      </c>
      <c r="B115" s="3" t="s">
        <v>8</v>
      </c>
      <c r="C115" s="3" t="s">
        <v>40</v>
      </c>
      <c r="D115" s="4">
        <v>140</v>
      </c>
      <c r="E115" s="11">
        <v>9.2200000000000006</v>
      </c>
      <c r="F115" s="9">
        <f t="shared" si="5"/>
        <v>1290.8000000000002</v>
      </c>
      <c r="G115" s="3" t="str">
        <f t="shared" si="6"/>
        <v/>
      </c>
      <c r="H115" s="3">
        <v>0</v>
      </c>
      <c r="I115" s="3">
        <v>0</v>
      </c>
      <c r="J115" s="3" t="str">
        <f t="shared" si="7"/>
        <v/>
      </c>
      <c r="K115" s="3" t="str">
        <f t="shared" si="8"/>
        <v/>
      </c>
      <c r="L115" s="9" t="str">
        <f t="shared" si="9"/>
        <v/>
      </c>
      <c r="M115" s="3">
        <v>1</v>
      </c>
      <c r="N115" s="3"/>
      <c r="O115" s="15">
        <v>20</v>
      </c>
    </row>
    <row r="116" spans="1:15" x14ac:dyDescent="0.25">
      <c r="A116" s="2" t="s">
        <v>209</v>
      </c>
      <c r="B116" s="3" t="s">
        <v>33</v>
      </c>
      <c r="C116" s="3" t="s">
        <v>40</v>
      </c>
      <c r="D116" s="4">
        <v>1</v>
      </c>
      <c r="E116" s="11">
        <v>20</v>
      </c>
      <c r="F116" s="9">
        <f t="shared" si="5"/>
        <v>20</v>
      </c>
      <c r="G116" s="3" t="str">
        <f t="shared" si="6"/>
        <v/>
      </c>
      <c r="H116" s="3">
        <v>0</v>
      </c>
      <c r="I116" s="3">
        <v>0</v>
      </c>
      <c r="J116" s="3" t="str">
        <f t="shared" si="7"/>
        <v/>
      </c>
      <c r="K116" s="3" t="str">
        <f t="shared" si="8"/>
        <v/>
      </c>
      <c r="L116" s="9" t="str">
        <f t="shared" si="9"/>
        <v/>
      </c>
      <c r="N116" s="3"/>
      <c r="O116" s="15">
        <v>1</v>
      </c>
    </row>
    <row r="117" spans="1:15" x14ac:dyDescent="0.25">
      <c r="A117" t="s">
        <v>210</v>
      </c>
      <c r="B117" s="3" t="s">
        <v>33</v>
      </c>
      <c r="C117" s="3" t="s">
        <v>40</v>
      </c>
      <c r="D117" s="4">
        <v>1</v>
      </c>
      <c r="E117" s="11">
        <v>15.1</v>
      </c>
      <c r="F117" s="9">
        <f t="shared" si="5"/>
        <v>15.1</v>
      </c>
      <c r="G117" s="3" t="str">
        <f t="shared" si="6"/>
        <v/>
      </c>
      <c r="H117" s="3">
        <v>0</v>
      </c>
      <c r="I117" s="3">
        <v>0</v>
      </c>
      <c r="J117" s="3" t="str">
        <f t="shared" si="7"/>
        <v/>
      </c>
      <c r="K117" s="3" t="str">
        <f t="shared" si="8"/>
        <v/>
      </c>
      <c r="L117" s="9" t="str">
        <f t="shared" si="9"/>
        <v/>
      </c>
      <c r="N117" s="3"/>
      <c r="O117" s="15">
        <v>1</v>
      </c>
    </row>
    <row r="118" spans="1:15" x14ac:dyDescent="0.25">
      <c r="A118" t="s">
        <v>211</v>
      </c>
      <c r="B118" s="3" t="s">
        <v>33</v>
      </c>
      <c r="C118" s="3" t="s">
        <v>40</v>
      </c>
      <c r="D118" s="4">
        <v>3</v>
      </c>
      <c r="E118" s="11">
        <v>36</v>
      </c>
      <c r="F118" s="9">
        <f t="shared" si="5"/>
        <v>108</v>
      </c>
      <c r="G118" s="3" t="str">
        <f t="shared" si="6"/>
        <v/>
      </c>
      <c r="H118" s="3">
        <v>0</v>
      </c>
      <c r="I118" s="3">
        <v>0</v>
      </c>
      <c r="J118" s="3" t="str">
        <f t="shared" si="7"/>
        <v/>
      </c>
      <c r="K118" s="3" t="str">
        <f t="shared" si="8"/>
        <v/>
      </c>
      <c r="L118" s="9" t="str">
        <f t="shared" si="9"/>
        <v/>
      </c>
      <c r="N118" s="3"/>
      <c r="O118" s="15">
        <v>3</v>
      </c>
    </row>
    <row r="119" spans="1:15" x14ac:dyDescent="0.25">
      <c r="A119" t="s">
        <v>212</v>
      </c>
      <c r="B119" s="3" t="s">
        <v>8</v>
      </c>
      <c r="C119" s="3" t="s">
        <v>40</v>
      </c>
      <c r="D119" s="4">
        <v>1</v>
      </c>
      <c r="E119" s="11">
        <v>6.98</v>
      </c>
      <c r="F119" s="9">
        <f t="shared" si="5"/>
        <v>6.98</v>
      </c>
      <c r="G119" s="3" t="str">
        <f t="shared" si="6"/>
        <v/>
      </c>
      <c r="H119" s="3">
        <v>0</v>
      </c>
      <c r="I119" s="3">
        <v>0</v>
      </c>
      <c r="J119" s="3" t="str">
        <f t="shared" si="7"/>
        <v/>
      </c>
      <c r="K119" s="3" t="str">
        <f t="shared" si="8"/>
        <v/>
      </c>
      <c r="L119" s="9" t="str">
        <f t="shared" si="9"/>
        <v/>
      </c>
      <c r="N119" s="3"/>
      <c r="O119" s="15">
        <v>1</v>
      </c>
    </row>
    <row r="120" spans="1:15" x14ac:dyDescent="0.25">
      <c r="A120" t="s">
        <v>213</v>
      </c>
      <c r="B120" s="3" t="s">
        <v>33</v>
      </c>
      <c r="C120" s="3" t="s">
        <v>40</v>
      </c>
      <c r="D120" s="4">
        <v>5.85</v>
      </c>
      <c r="E120" s="11">
        <v>83.85</v>
      </c>
      <c r="F120" s="9">
        <f t="shared" si="5"/>
        <v>490.52249999999992</v>
      </c>
      <c r="G120" s="3" t="str">
        <f t="shared" si="6"/>
        <v/>
      </c>
      <c r="H120" s="3">
        <v>0</v>
      </c>
      <c r="I120" s="3">
        <v>0</v>
      </c>
      <c r="J120" s="3" t="str">
        <f t="shared" si="7"/>
        <v/>
      </c>
      <c r="K120" s="3" t="str">
        <f t="shared" si="8"/>
        <v/>
      </c>
      <c r="L120" s="9" t="str">
        <f t="shared" si="9"/>
        <v/>
      </c>
      <c r="N120" s="3">
        <v>5</v>
      </c>
      <c r="O120" s="15">
        <v>20</v>
      </c>
    </row>
    <row r="121" spans="1:15" x14ac:dyDescent="0.25">
      <c r="A121" t="s">
        <v>214</v>
      </c>
      <c r="B121" s="3" t="s">
        <v>33</v>
      </c>
      <c r="C121" s="3" t="s">
        <v>40</v>
      </c>
      <c r="D121" s="18">
        <v>7.5</v>
      </c>
      <c r="E121" s="11">
        <v>6.5</v>
      </c>
      <c r="F121" s="9">
        <f t="shared" si="5"/>
        <v>48.75</v>
      </c>
      <c r="G121" s="3" t="str">
        <f t="shared" si="6"/>
        <v/>
      </c>
      <c r="H121" s="3">
        <v>0</v>
      </c>
      <c r="I121" s="3">
        <v>0</v>
      </c>
      <c r="J121" s="3" t="str">
        <f t="shared" si="7"/>
        <v/>
      </c>
      <c r="K121" s="3" t="str">
        <f t="shared" si="8"/>
        <v/>
      </c>
      <c r="L121" s="9" t="str">
        <f t="shared" si="9"/>
        <v/>
      </c>
      <c r="N121" s="3">
        <v>1</v>
      </c>
      <c r="O121" s="16">
        <v>19</v>
      </c>
    </row>
    <row r="122" spans="1:15" x14ac:dyDescent="0.25">
      <c r="A122" t="s">
        <v>215</v>
      </c>
      <c r="B122" s="3" t="s">
        <v>8</v>
      </c>
      <c r="C122" s="3" t="s">
        <v>40</v>
      </c>
      <c r="D122" s="4">
        <v>30.799999999999997</v>
      </c>
      <c r="E122" s="11">
        <v>6.6000000000000005</v>
      </c>
      <c r="F122" s="9">
        <f t="shared" si="5"/>
        <v>203.28</v>
      </c>
      <c r="G122" s="3" t="str">
        <f t="shared" si="6"/>
        <v/>
      </c>
      <c r="H122" s="3">
        <v>0</v>
      </c>
      <c r="I122" s="3">
        <v>0</v>
      </c>
      <c r="J122" s="3" t="str">
        <f t="shared" si="7"/>
        <v/>
      </c>
      <c r="K122" s="3" t="str">
        <f t="shared" si="8"/>
        <v/>
      </c>
      <c r="L122" s="9" t="str">
        <f t="shared" si="9"/>
        <v/>
      </c>
      <c r="M122" s="3">
        <v>3</v>
      </c>
      <c r="N122" s="3">
        <v>12</v>
      </c>
      <c r="O122" s="15">
        <v>15</v>
      </c>
    </row>
    <row r="123" spans="1:15" x14ac:dyDescent="0.25">
      <c r="A123" t="s">
        <v>443</v>
      </c>
      <c r="B123" s="3" t="s">
        <v>33</v>
      </c>
      <c r="C123" s="3" t="s">
        <v>9</v>
      </c>
      <c r="D123" s="4">
        <v>0</v>
      </c>
      <c r="E123" s="11">
        <v>14.06</v>
      </c>
      <c r="F123" s="9">
        <f t="shared" si="5"/>
        <v>0</v>
      </c>
      <c r="G123" s="3" t="str">
        <f t="shared" si="6"/>
        <v/>
      </c>
      <c r="J123" s="3" t="str">
        <f t="shared" si="7"/>
        <v/>
      </c>
      <c r="K123" s="3" t="str">
        <f t="shared" si="8"/>
        <v/>
      </c>
      <c r="L123" s="9" t="str">
        <f t="shared" si="9"/>
        <v/>
      </c>
      <c r="M123" s="3">
        <v>1</v>
      </c>
      <c r="N123" s="3">
        <v>1</v>
      </c>
      <c r="O123" s="15">
        <v>0</v>
      </c>
    </row>
    <row r="124" spans="1:15" x14ac:dyDescent="0.25">
      <c r="A124" t="s">
        <v>444</v>
      </c>
      <c r="B124" s="3" t="s">
        <v>33</v>
      </c>
      <c r="C124" s="3" t="s">
        <v>9</v>
      </c>
      <c r="D124" s="4">
        <v>0</v>
      </c>
      <c r="E124" s="11">
        <v>3.07</v>
      </c>
      <c r="F124" s="9">
        <f t="shared" si="5"/>
        <v>0</v>
      </c>
      <c r="G124" s="3" t="str">
        <f t="shared" si="6"/>
        <v/>
      </c>
      <c r="J124" s="3" t="str">
        <f t="shared" si="7"/>
        <v/>
      </c>
      <c r="K124" s="3" t="str">
        <f t="shared" si="8"/>
        <v/>
      </c>
      <c r="L124" s="9" t="str">
        <f t="shared" si="9"/>
        <v/>
      </c>
      <c r="M124" s="3">
        <v>1</v>
      </c>
      <c r="N124" s="3">
        <v>1</v>
      </c>
      <c r="O124" s="15">
        <v>0</v>
      </c>
    </row>
    <row r="125" spans="1:15" x14ac:dyDescent="0.25">
      <c r="A125" t="s">
        <v>445</v>
      </c>
      <c r="B125" s="3" t="s">
        <v>33</v>
      </c>
      <c r="C125" s="3" t="s">
        <v>9</v>
      </c>
      <c r="D125" s="4">
        <v>1</v>
      </c>
      <c r="E125" s="11">
        <v>1.68</v>
      </c>
      <c r="F125" s="9">
        <f t="shared" si="5"/>
        <v>1.68</v>
      </c>
      <c r="G125" s="3" t="str">
        <f t="shared" si="6"/>
        <v/>
      </c>
      <c r="J125" s="3" t="str">
        <f t="shared" si="7"/>
        <v/>
      </c>
      <c r="K125" s="3" t="str">
        <f t="shared" si="8"/>
        <v/>
      </c>
      <c r="L125" s="9" t="str">
        <f t="shared" si="9"/>
        <v/>
      </c>
      <c r="M125" s="3">
        <v>2</v>
      </c>
      <c r="N125" s="3">
        <v>1</v>
      </c>
      <c r="O125" s="15">
        <v>0</v>
      </c>
    </row>
    <row r="126" spans="1:15" x14ac:dyDescent="0.25">
      <c r="A126" t="s">
        <v>216</v>
      </c>
      <c r="B126" s="3" t="s">
        <v>33</v>
      </c>
      <c r="C126" s="3" t="s">
        <v>9</v>
      </c>
      <c r="D126" s="4">
        <v>1</v>
      </c>
      <c r="E126" s="11">
        <v>7.83</v>
      </c>
      <c r="F126" s="9">
        <f t="shared" si="5"/>
        <v>7.83</v>
      </c>
      <c r="G126" s="3" t="str">
        <f t="shared" si="6"/>
        <v/>
      </c>
      <c r="J126" s="3" t="str">
        <f t="shared" si="7"/>
        <v/>
      </c>
      <c r="K126" s="3" t="str">
        <f t="shared" si="8"/>
        <v/>
      </c>
      <c r="L126" s="9" t="str">
        <f t="shared" si="9"/>
        <v/>
      </c>
      <c r="M126" s="3">
        <v>1</v>
      </c>
      <c r="N126" s="3"/>
      <c r="O126" s="15">
        <v>0</v>
      </c>
    </row>
    <row r="127" spans="1:15" x14ac:dyDescent="0.25">
      <c r="A127" t="s">
        <v>446</v>
      </c>
      <c r="B127" s="3" t="s">
        <v>33</v>
      </c>
      <c r="C127" s="3" t="s">
        <v>9</v>
      </c>
      <c r="D127" s="4">
        <v>1</v>
      </c>
      <c r="E127" s="11">
        <v>1.75</v>
      </c>
      <c r="F127" s="9">
        <f t="shared" si="5"/>
        <v>1.75</v>
      </c>
      <c r="G127" s="3" t="str">
        <f t="shared" si="6"/>
        <v/>
      </c>
      <c r="J127" s="3" t="str">
        <f t="shared" si="7"/>
        <v/>
      </c>
      <c r="K127" s="3" t="str">
        <f t="shared" si="8"/>
        <v/>
      </c>
      <c r="L127" s="9" t="str">
        <f t="shared" si="9"/>
        <v/>
      </c>
      <c r="M127" s="3">
        <v>2</v>
      </c>
      <c r="N127" s="3">
        <v>1</v>
      </c>
      <c r="O127" s="15">
        <v>0</v>
      </c>
    </row>
    <row r="128" spans="1:15" x14ac:dyDescent="0.25">
      <c r="A128" t="s">
        <v>217</v>
      </c>
      <c r="B128" s="3" t="s">
        <v>60</v>
      </c>
      <c r="C128" s="3" t="s">
        <v>9</v>
      </c>
      <c r="D128" s="4">
        <v>10</v>
      </c>
      <c r="E128" s="11">
        <v>2.7</v>
      </c>
      <c r="F128" s="9">
        <f t="shared" si="5"/>
        <v>27</v>
      </c>
      <c r="G128" s="3" t="str">
        <f t="shared" si="6"/>
        <v/>
      </c>
      <c r="H128" s="3">
        <v>0</v>
      </c>
      <c r="I128" s="3">
        <v>0</v>
      </c>
      <c r="J128" s="3" t="str">
        <f t="shared" si="7"/>
        <v/>
      </c>
      <c r="K128" s="3" t="str">
        <f t="shared" si="8"/>
        <v/>
      </c>
      <c r="L128" s="9" t="str">
        <f t="shared" si="9"/>
        <v/>
      </c>
      <c r="N128" s="3"/>
      <c r="O128" s="15">
        <v>10</v>
      </c>
    </row>
    <row r="129" spans="1:15" x14ac:dyDescent="0.25">
      <c r="A129" t="s">
        <v>218</v>
      </c>
      <c r="B129" s="3" t="s">
        <v>33</v>
      </c>
      <c r="C129" s="3" t="s">
        <v>9</v>
      </c>
      <c r="D129" s="4">
        <v>0</v>
      </c>
      <c r="E129" s="11">
        <v>0.67</v>
      </c>
      <c r="F129" s="9">
        <f t="shared" si="5"/>
        <v>0</v>
      </c>
      <c r="G129" s="3" t="str">
        <f t="shared" si="6"/>
        <v/>
      </c>
      <c r="J129" s="3" t="str">
        <f t="shared" si="7"/>
        <v/>
      </c>
      <c r="K129" s="3" t="str">
        <f t="shared" si="8"/>
        <v/>
      </c>
      <c r="L129" s="9" t="str">
        <f t="shared" si="9"/>
        <v/>
      </c>
      <c r="M129" s="3">
        <v>1</v>
      </c>
      <c r="N129" s="3">
        <v>1</v>
      </c>
      <c r="O129" s="15">
        <v>0</v>
      </c>
    </row>
    <row r="130" spans="1:15" x14ac:dyDescent="0.25">
      <c r="A130" t="s">
        <v>219</v>
      </c>
      <c r="B130" s="3" t="s">
        <v>33</v>
      </c>
      <c r="C130" s="3" t="s">
        <v>9</v>
      </c>
      <c r="D130" s="4">
        <v>2</v>
      </c>
      <c r="E130" s="11">
        <v>7.89</v>
      </c>
      <c r="F130" s="9">
        <f t="shared" ref="F130:F193" si="10">SUM(D130*E130)</f>
        <v>15.78</v>
      </c>
      <c r="G130" s="3" t="str">
        <f t="shared" ref="G130:G193" si="11">IF(E130=0,"BLOCK","")</f>
        <v/>
      </c>
      <c r="J130" s="3" t="str">
        <f t="shared" ref="J130:J193" si="12">IF(H130=0,"",IF(D130&lt;=H130,"1",""))</f>
        <v/>
      </c>
      <c r="K130" s="3" t="str">
        <f t="shared" ref="K130:K193" si="13">IF(J130="","",I130-D130)</f>
        <v/>
      </c>
      <c r="L130" s="9" t="str">
        <f t="shared" ref="L130:L193" si="14">IF(J130="1",(I130-D130)*E130,"")</f>
        <v/>
      </c>
      <c r="M130" s="3">
        <v>1</v>
      </c>
      <c r="N130" s="3"/>
      <c r="O130" s="15">
        <v>0</v>
      </c>
    </row>
    <row r="131" spans="1:15" x14ac:dyDescent="0.25">
      <c r="A131" t="s">
        <v>220</v>
      </c>
      <c r="B131" s="3" t="s">
        <v>33</v>
      </c>
      <c r="C131" s="3" t="s">
        <v>9</v>
      </c>
      <c r="D131" s="4"/>
      <c r="F131" s="9">
        <f t="shared" si="10"/>
        <v>0</v>
      </c>
      <c r="G131" s="3" t="str">
        <f t="shared" si="11"/>
        <v>BLOCK</v>
      </c>
      <c r="J131" s="3" t="str">
        <f t="shared" si="12"/>
        <v/>
      </c>
      <c r="K131" s="3" t="str">
        <f t="shared" si="13"/>
        <v/>
      </c>
      <c r="L131" s="9" t="str">
        <f t="shared" si="14"/>
        <v/>
      </c>
      <c r="N131" s="3"/>
      <c r="O131" s="15">
        <v>0</v>
      </c>
    </row>
    <row r="132" spans="1:15" x14ac:dyDescent="0.25">
      <c r="A132" t="s">
        <v>221</v>
      </c>
      <c r="B132" s="3" t="s">
        <v>147</v>
      </c>
      <c r="C132" s="3" t="s">
        <v>9</v>
      </c>
      <c r="D132" s="4">
        <v>32</v>
      </c>
      <c r="E132" s="11">
        <v>11.5</v>
      </c>
      <c r="F132" s="9">
        <f t="shared" si="10"/>
        <v>368</v>
      </c>
      <c r="G132" s="3" t="str">
        <f t="shared" si="11"/>
        <v/>
      </c>
      <c r="H132" s="3">
        <v>0</v>
      </c>
      <c r="I132" s="3">
        <v>0</v>
      </c>
      <c r="J132" s="3" t="str">
        <f t="shared" si="12"/>
        <v/>
      </c>
      <c r="K132" s="3" t="str">
        <f t="shared" si="13"/>
        <v/>
      </c>
      <c r="L132" s="9" t="str">
        <f t="shared" si="14"/>
        <v/>
      </c>
      <c r="N132" s="3">
        <v>1</v>
      </c>
      <c r="O132" s="15">
        <v>34</v>
      </c>
    </row>
    <row r="133" spans="1:15" x14ac:dyDescent="0.25">
      <c r="A133" t="s">
        <v>222</v>
      </c>
      <c r="B133" s="3" t="s">
        <v>33</v>
      </c>
      <c r="C133" s="3" t="s">
        <v>9</v>
      </c>
      <c r="D133" s="4">
        <v>-1</v>
      </c>
      <c r="E133" s="11">
        <v>0.54</v>
      </c>
      <c r="F133" s="9">
        <f t="shared" si="10"/>
        <v>-0.54</v>
      </c>
      <c r="G133" s="3" t="str">
        <f t="shared" si="11"/>
        <v/>
      </c>
      <c r="J133" s="3" t="str">
        <f t="shared" si="12"/>
        <v/>
      </c>
      <c r="K133" s="3" t="str">
        <f t="shared" si="13"/>
        <v/>
      </c>
      <c r="L133" s="9" t="str">
        <f t="shared" si="14"/>
        <v/>
      </c>
      <c r="M133" s="3">
        <v>2</v>
      </c>
      <c r="N133" s="3">
        <v>2</v>
      </c>
      <c r="O133" s="15">
        <v>0</v>
      </c>
    </row>
    <row r="134" spans="1:15" x14ac:dyDescent="0.25">
      <c r="A134" t="s">
        <v>223</v>
      </c>
      <c r="B134" s="3" t="s">
        <v>33</v>
      </c>
      <c r="C134" s="3" t="s">
        <v>9</v>
      </c>
      <c r="D134" s="4">
        <v>2</v>
      </c>
      <c r="E134" s="11">
        <v>0.65</v>
      </c>
      <c r="F134" s="9">
        <f t="shared" si="10"/>
        <v>1.3</v>
      </c>
      <c r="G134" s="3" t="str">
        <f t="shared" si="11"/>
        <v/>
      </c>
      <c r="J134" s="3" t="str">
        <f t="shared" si="12"/>
        <v/>
      </c>
      <c r="K134" s="3" t="str">
        <f t="shared" si="13"/>
        <v/>
      </c>
      <c r="L134" s="9" t="str">
        <f t="shared" si="14"/>
        <v/>
      </c>
      <c r="M134" s="3">
        <v>1</v>
      </c>
      <c r="N134" s="3"/>
      <c r="O134" s="15">
        <v>0</v>
      </c>
    </row>
    <row r="135" spans="1:15" x14ac:dyDescent="0.25">
      <c r="A135" t="s">
        <v>224</v>
      </c>
      <c r="B135" s="3" t="s">
        <v>33</v>
      </c>
      <c r="C135" s="3" t="s">
        <v>9</v>
      </c>
      <c r="D135" s="4">
        <v>2</v>
      </c>
      <c r="E135" s="11">
        <v>0.92</v>
      </c>
      <c r="F135" s="9">
        <f t="shared" si="10"/>
        <v>1.84</v>
      </c>
      <c r="G135" s="3" t="str">
        <f t="shared" si="11"/>
        <v/>
      </c>
      <c r="J135" s="3" t="str">
        <f t="shared" si="12"/>
        <v/>
      </c>
      <c r="K135" s="3" t="str">
        <f t="shared" si="13"/>
        <v/>
      </c>
      <c r="L135" s="9" t="str">
        <f t="shared" si="14"/>
        <v/>
      </c>
      <c r="M135" s="3">
        <v>1</v>
      </c>
      <c r="N135" s="3"/>
      <c r="O135" s="15">
        <v>0</v>
      </c>
    </row>
    <row r="136" spans="1:15" x14ac:dyDescent="0.25">
      <c r="A136" t="s">
        <v>225</v>
      </c>
      <c r="B136" s="3" t="s">
        <v>33</v>
      </c>
      <c r="C136" s="3" t="s">
        <v>9</v>
      </c>
      <c r="D136" s="4">
        <v>0</v>
      </c>
      <c r="E136" s="11">
        <v>126.09</v>
      </c>
      <c r="F136" s="9">
        <f t="shared" si="10"/>
        <v>0</v>
      </c>
      <c r="G136" s="3" t="str">
        <f t="shared" si="11"/>
        <v/>
      </c>
      <c r="J136" s="3" t="str">
        <f t="shared" si="12"/>
        <v/>
      </c>
      <c r="K136" s="3" t="str">
        <f t="shared" si="13"/>
        <v/>
      </c>
      <c r="L136" s="9" t="str">
        <f t="shared" si="14"/>
        <v/>
      </c>
      <c r="M136" s="3">
        <v>1</v>
      </c>
      <c r="N136" s="3">
        <v>2</v>
      </c>
      <c r="O136" s="15">
        <v>0</v>
      </c>
    </row>
    <row r="137" spans="1:15" x14ac:dyDescent="0.25">
      <c r="A137" t="s">
        <v>226</v>
      </c>
      <c r="B137" s="3" t="s">
        <v>33</v>
      </c>
      <c r="C137" s="3" t="s">
        <v>9</v>
      </c>
      <c r="D137" s="4">
        <v>0</v>
      </c>
      <c r="E137" s="11">
        <v>2.63</v>
      </c>
      <c r="F137" s="9">
        <f t="shared" si="10"/>
        <v>0</v>
      </c>
      <c r="G137" s="3" t="str">
        <f t="shared" si="11"/>
        <v/>
      </c>
      <c r="J137" s="3" t="str">
        <f t="shared" si="12"/>
        <v/>
      </c>
      <c r="K137" s="3" t="str">
        <f t="shared" si="13"/>
        <v/>
      </c>
      <c r="L137" s="9" t="str">
        <f t="shared" si="14"/>
        <v/>
      </c>
      <c r="M137" s="3">
        <v>1</v>
      </c>
      <c r="N137" s="3">
        <v>1</v>
      </c>
      <c r="O137" s="15">
        <v>0</v>
      </c>
    </row>
    <row r="138" spans="1:15" x14ac:dyDescent="0.25">
      <c r="A138" t="s">
        <v>227</v>
      </c>
      <c r="B138" s="3" t="s">
        <v>33</v>
      </c>
      <c r="C138" s="3" t="s">
        <v>9</v>
      </c>
      <c r="D138" s="4">
        <v>0</v>
      </c>
      <c r="E138" s="11">
        <v>3.04</v>
      </c>
      <c r="F138" s="9">
        <f t="shared" si="10"/>
        <v>0</v>
      </c>
      <c r="G138" s="3" t="str">
        <f t="shared" si="11"/>
        <v/>
      </c>
      <c r="J138" s="3" t="str">
        <f t="shared" si="12"/>
        <v/>
      </c>
      <c r="K138" s="3" t="str">
        <f t="shared" si="13"/>
        <v/>
      </c>
      <c r="L138" s="9" t="str">
        <f t="shared" si="14"/>
        <v/>
      </c>
      <c r="M138" s="3">
        <v>1</v>
      </c>
      <c r="N138" s="3">
        <v>1</v>
      </c>
      <c r="O138" s="15">
        <v>0</v>
      </c>
    </row>
    <row r="139" spans="1:15" x14ac:dyDescent="0.25">
      <c r="A139" t="s">
        <v>228</v>
      </c>
      <c r="B139" s="3" t="s">
        <v>33</v>
      </c>
      <c r="C139" s="3" t="s">
        <v>9</v>
      </c>
      <c r="D139" s="4">
        <v>0</v>
      </c>
      <c r="E139" s="11">
        <v>3.04</v>
      </c>
      <c r="F139" s="9">
        <f t="shared" si="10"/>
        <v>0</v>
      </c>
      <c r="G139" s="3" t="str">
        <f t="shared" si="11"/>
        <v/>
      </c>
      <c r="J139" s="3" t="str">
        <f t="shared" si="12"/>
        <v/>
      </c>
      <c r="K139" s="3" t="str">
        <f t="shared" si="13"/>
        <v/>
      </c>
      <c r="L139" s="9" t="str">
        <f t="shared" si="14"/>
        <v/>
      </c>
      <c r="M139" s="3">
        <v>1</v>
      </c>
      <c r="N139" s="3">
        <v>1</v>
      </c>
      <c r="O139" s="15">
        <v>0</v>
      </c>
    </row>
    <row r="140" spans="1:15" x14ac:dyDescent="0.25">
      <c r="A140" t="s">
        <v>447</v>
      </c>
      <c r="B140" s="3" t="s">
        <v>33</v>
      </c>
      <c r="C140" s="3" t="s">
        <v>9</v>
      </c>
      <c r="D140" s="4">
        <v>0</v>
      </c>
      <c r="E140" s="11">
        <v>70.47</v>
      </c>
      <c r="F140" s="9">
        <f t="shared" si="10"/>
        <v>0</v>
      </c>
      <c r="G140" s="3" t="str">
        <f t="shared" si="11"/>
        <v/>
      </c>
      <c r="J140" s="3" t="str">
        <f t="shared" si="12"/>
        <v/>
      </c>
      <c r="K140" s="3" t="str">
        <f t="shared" si="13"/>
        <v/>
      </c>
      <c r="L140" s="9" t="str">
        <f t="shared" si="14"/>
        <v/>
      </c>
      <c r="M140" s="3">
        <v>1</v>
      </c>
      <c r="N140" s="3">
        <v>1</v>
      </c>
      <c r="O140" s="15">
        <v>0</v>
      </c>
    </row>
    <row r="141" spans="1:15" x14ac:dyDescent="0.25">
      <c r="A141" t="s">
        <v>229</v>
      </c>
      <c r="B141" s="3" t="s">
        <v>33</v>
      </c>
      <c r="C141" s="3" t="s">
        <v>9</v>
      </c>
      <c r="D141" s="4">
        <v>4</v>
      </c>
      <c r="E141" s="11">
        <v>1.1499999999999999</v>
      </c>
      <c r="F141" s="9">
        <f t="shared" si="10"/>
        <v>4.5999999999999996</v>
      </c>
      <c r="G141" s="3" t="str">
        <f t="shared" si="11"/>
        <v/>
      </c>
      <c r="H141" s="3">
        <v>0</v>
      </c>
      <c r="I141" s="3">
        <v>0</v>
      </c>
      <c r="J141" s="3" t="str">
        <f t="shared" si="12"/>
        <v/>
      </c>
      <c r="K141" s="3" t="str">
        <f t="shared" si="13"/>
        <v/>
      </c>
      <c r="L141" s="9" t="str">
        <f t="shared" si="14"/>
        <v/>
      </c>
      <c r="N141" s="3"/>
      <c r="O141" s="15">
        <v>4</v>
      </c>
    </row>
    <row r="142" spans="1:15" x14ac:dyDescent="0.25">
      <c r="A142" t="s">
        <v>230</v>
      </c>
      <c r="B142" s="3" t="s">
        <v>33</v>
      </c>
      <c r="C142" s="3" t="s">
        <v>9</v>
      </c>
      <c r="D142" s="4">
        <v>4</v>
      </c>
      <c r="E142" s="11">
        <v>0.36</v>
      </c>
      <c r="F142" s="9">
        <f t="shared" si="10"/>
        <v>1.44</v>
      </c>
      <c r="G142" s="3" t="str">
        <f t="shared" si="11"/>
        <v/>
      </c>
      <c r="J142" s="3" t="str">
        <f t="shared" si="12"/>
        <v/>
      </c>
      <c r="K142" s="3" t="str">
        <f t="shared" si="13"/>
        <v/>
      </c>
      <c r="L142" s="9" t="str">
        <f t="shared" si="14"/>
        <v/>
      </c>
      <c r="M142" s="3">
        <v>1</v>
      </c>
      <c r="N142" s="3"/>
      <c r="O142" s="15">
        <v>0</v>
      </c>
    </row>
    <row r="143" spans="1:15" x14ac:dyDescent="0.25">
      <c r="A143" t="s">
        <v>231</v>
      </c>
      <c r="B143" s="3" t="s">
        <v>33</v>
      </c>
      <c r="C143" s="3" t="s">
        <v>9</v>
      </c>
      <c r="D143" s="4">
        <v>1</v>
      </c>
      <c r="E143" s="11">
        <v>0.27</v>
      </c>
      <c r="F143" s="9">
        <f t="shared" si="10"/>
        <v>0.27</v>
      </c>
      <c r="G143" s="3" t="str">
        <f t="shared" si="11"/>
        <v/>
      </c>
      <c r="J143" s="3" t="str">
        <f t="shared" si="12"/>
        <v/>
      </c>
      <c r="K143" s="3" t="str">
        <f t="shared" si="13"/>
        <v/>
      </c>
      <c r="L143" s="9" t="str">
        <f t="shared" si="14"/>
        <v/>
      </c>
      <c r="M143" s="3">
        <v>1</v>
      </c>
      <c r="N143" s="3"/>
      <c r="O143" s="15">
        <v>0</v>
      </c>
    </row>
    <row r="144" spans="1:15" x14ac:dyDescent="0.25">
      <c r="A144" t="s">
        <v>232</v>
      </c>
      <c r="B144" s="3" t="s">
        <v>33</v>
      </c>
      <c r="C144" s="3" t="s">
        <v>9</v>
      </c>
      <c r="D144" s="4">
        <v>4</v>
      </c>
      <c r="E144" s="11">
        <v>0.14000000000000001</v>
      </c>
      <c r="F144" s="9">
        <f t="shared" si="10"/>
        <v>0.56000000000000005</v>
      </c>
      <c r="G144" s="3" t="str">
        <f t="shared" si="11"/>
        <v/>
      </c>
      <c r="J144" s="3" t="str">
        <f t="shared" si="12"/>
        <v/>
      </c>
      <c r="K144" s="3" t="str">
        <f t="shared" si="13"/>
        <v/>
      </c>
      <c r="L144" s="9" t="str">
        <f t="shared" si="14"/>
        <v/>
      </c>
      <c r="M144" s="3">
        <v>1</v>
      </c>
      <c r="N144" s="3"/>
      <c r="O144" s="15">
        <v>0</v>
      </c>
    </row>
    <row r="145" spans="1:15" x14ac:dyDescent="0.25">
      <c r="A145" t="s">
        <v>233</v>
      </c>
      <c r="B145" s="3" t="s">
        <v>33</v>
      </c>
      <c r="C145" s="3" t="s">
        <v>9</v>
      </c>
      <c r="D145" s="4">
        <v>4</v>
      </c>
      <c r="E145" s="11">
        <v>0.24</v>
      </c>
      <c r="F145" s="9">
        <f t="shared" si="10"/>
        <v>0.96</v>
      </c>
      <c r="G145" s="3" t="str">
        <f t="shared" si="11"/>
        <v/>
      </c>
      <c r="J145" s="3" t="str">
        <f t="shared" si="12"/>
        <v/>
      </c>
      <c r="K145" s="3" t="str">
        <f t="shared" si="13"/>
        <v/>
      </c>
      <c r="L145" s="9" t="str">
        <f t="shared" si="14"/>
        <v/>
      </c>
      <c r="M145" s="3">
        <v>1</v>
      </c>
      <c r="N145" s="3"/>
      <c r="O145" s="15">
        <v>0</v>
      </c>
    </row>
    <row r="146" spans="1:15" x14ac:dyDescent="0.25">
      <c r="A146" t="s">
        <v>234</v>
      </c>
      <c r="B146" s="3" t="s">
        <v>60</v>
      </c>
      <c r="C146" s="3" t="s">
        <v>9</v>
      </c>
      <c r="D146" s="4">
        <v>1</v>
      </c>
      <c r="E146" s="11">
        <v>3.46</v>
      </c>
      <c r="F146" s="9">
        <f t="shared" si="10"/>
        <v>3.46</v>
      </c>
      <c r="G146" s="3" t="str">
        <f t="shared" si="11"/>
        <v/>
      </c>
      <c r="J146" s="3" t="str">
        <f t="shared" si="12"/>
        <v/>
      </c>
      <c r="K146" s="3" t="str">
        <f t="shared" si="13"/>
        <v/>
      </c>
      <c r="L146" s="9" t="str">
        <f t="shared" si="14"/>
        <v/>
      </c>
      <c r="M146" s="3">
        <v>1</v>
      </c>
      <c r="N146" s="3"/>
      <c r="O146" s="15">
        <v>0</v>
      </c>
    </row>
    <row r="147" spans="1:15" x14ac:dyDescent="0.25">
      <c r="A147" t="s">
        <v>235</v>
      </c>
      <c r="B147" s="3" t="s">
        <v>33</v>
      </c>
      <c r="C147" s="3" t="s">
        <v>9</v>
      </c>
      <c r="D147" s="4">
        <v>0</v>
      </c>
      <c r="E147" s="11">
        <v>12.37</v>
      </c>
      <c r="F147" s="9">
        <f t="shared" si="10"/>
        <v>0</v>
      </c>
      <c r="G147" s="3" t="str">
        <f t="shared" si="11"/>
        <v/>
      </c>
      <c r="J147" s="3" t="str">
        <f t="shared" si="12"/>
        <v/>
      </c>
      <c r="K147" s="3" t="str">
        <f t="shared" si="13"/>
        <v/>
      </c>
      <c r="L147" s="9" t="str">
        <f t="shared" si="14"/>
        <v/>
      </c>
      <c r="M147" s="3">
        <v>1</v>
      </c>
      <c r="N147" s="3">
        <v>1</v>
      </c>
      <c r="O147" s="15">
        <v>0</v>
      </c>
    </row>
    <row r="148" spans="1:15" x14ac:dyDescent="0.25">
      <c r="A148" t="s">
        <v>236</v>
      </c>
      <c r="B148" s="3" t="s">
        <v>33</v>
      </c>
      <c r="C148" s="3" t="s">
        <v>9</v>
      </c>
      <c r="D148" s="4">
        <v>34</v>
      </c>
      <c r="E148" s="11">
        <v>1.31</v>
      </c>
      <c r="F148" s="9">
        <f t="shared" si="10"/>
        <v>44.54</v>
      </c>
      <c r="G148" s="3" t="str">
        <f t="shared" si="11"/>
        <v/>
      </c>
      <c r="J148" s="3" t="str">
        <f t="shared" si="12"/>
        <v/>
      </c>
      <c r="K148" s="3" t="str">
        <f t="shared" si="13"/>
        <v/>
      </c>
      <c r="L148" s="9" t="str">
        <f t="shared" si="14"/>
        <v/>
      </c>
      <c r="M148" s="3">
        <v>1</v>
      </c>
      <c r="N148" s="3">
        <v>15</v>
      </c>
      <c r="O148" s="15">
        <v>0</v>
      </c>
    </row>
    <row r="149" spans="1:15" x14ac:dyDescent="0.25">
      <c r="A149" t="s">
        <v>237</v>
      </c>
      <c r="B149" s="3" t="s">
        <v>33</v>
      </c>
      <c r="C149" s="3" t="s">
        <v>9</v>
      </c>
      <c r="D149" s="4">
        <v>4</v>
      </c>
      <c r="E149" s="11">
        <v>0.86</v>
      </c>
      <c r="F149" s="9">
        <f t="shared" si="10"/>
        <v>3.44</v>
      </c>
      <c r="G149" s="3" t="str">
        <f t="shared" si="11"/>
        <v/>
      </c>
      <c r="J149" s="3" t="str">
        <f t="shared" si="12"/>
        <v/>
      </c>
      <c r="K149" s="3" t="str">
        <f t="shared" si="13"/>
        <v/>
      </c>
      <c r="L149" s="9" t="str">
        <f t="shared" si="14"/>
        <v/>
      </c>
      <c r="M149" s="3">
        <v>1</v>
      </c>
      <c r="N149" s="3"/>
      <c r="O149" s="15">
        <v>0</v>
      </c>
    </row>
    <row r="150" spans="1:15" x14ac:dyDescent="0.25">
      <c r="A150" t="s">
        <v>448</v>
      </c>
      <c r="B150" s="3" t="s">
        <v>33</v>
      </c>
      <c r="C150" s="3" t="s">
        <v>9</v>
      </c>
      <c r="D150" s="4">
        <v>0</v>
      </c>
      <c r="E150" s="11">
        <v>1.57</v>
      </c>
      <c r="F150" s="9">
        <f t="shared" si="10"/>
        <v>0</v>
      </c>
      <c r="G150" s="3" t="str">
        <f t="shared" si="11"/>
        <v/>
      </c>
      <c r="J150" s="3" t="str">
        <f t="shared" si="12"/>
        <v/>
      </c>
      <c r="K150" s="3" t="str">
        <f t="shared" si="13"/>
        <v/>
      </c>
      <c r="L150" s="9" t="str">
        <f t="shared" si="14"/>
        <v/>
      </c>
      <c r="M150" s="3">
        <v>1</v>
      </c>
      <c r="N150" s="3">
        <v>1</v>
      </c>
      <c r="O150" s="15">
        <v>0</v>
      </c>
    </row>
    <row r="151" spans="1:15" x14ac:dyDescent="0.25">
      <c r="A151" t="s">
        <v>238</v>
      </c>
      <c r="B151" s="3" t="s">
        <v>33</v>
      </c>
      <c r="C151" s="3" t="s">
        <v>9</v>
      </c>
      <c r="D151" s="4">
        <v>1</v>
      </c>
      <c r="E151" s="11">
        <v>0.09</v>
      </c>
      <c r="F151" s="9">
        <f t="shared" si="10"/>
        <v>0.09</v>
      </c>
      <c r="G151" s="3" t="str">
        <f t="shared" si="11"/>
        <v/>
      </c>
      <c r="J151" s="3" t="str">
        <f t="shared" si="12"/>
        <v/>
      </c>
      <c r="K151" s="3" t="str">
        <f t="shared" si="13"/>
        <v/>
      </c>
      <c r="L151" s="9" t="str">
        <f t="shared" si="14"/>
        <v/>
      </c>
      <c r="M151" s="3">
        <v>2</v>
      </c>
      <c r="N151" s="3">
        <v>1</v>
      </c>
      <c r="O151" s="15">
        <v>0</v>
      </c>
    </row>
    <row r="152" spans="1:15" x14ac:dyDescent="0.25">
      <c r="A152" t="s">
        <v>449</v>
      </c>
      <c r="B152" s="3" t="s">
        <v>33</v>
      </c>
      <c r="C152" s="3" t="s">
        <v>9</v>
      </c>
      <c r="D152" s="4">
        <v>0</v>
      </c>
      <c r="E152" s="11">
        <v>104.35</v>
      </c>
      <c r="F152" s="9">
        <f t="shared" si="10"/>
        <v>0</v>
      </c>
      <c r="G152" s="3" t="str">
        <f t="shared" si="11"/>
        <v/>
      </c>
      <c r="J152" s="3" t="str">
        <f t="shared" si="12"/>
        <v/>
      </c>
      <c r="K152" s="3" t="str">
        <f t="shared" si="13"/>
        <v/>
      </c>
      <c r="L152" s="9" t="str">
        <f t="shared" si="14"/>
        <v/>
      </c>
      <c r="M152" s="3">
        <v>1</v>
      </c>
      <c r="N152" s="3">
        <v>1</v>
      </c>
      <c r="O152" s="15">
        <v>0</v>
      </c>
    </row>
    <row r="153" spans="1:15" x14ac:dyDescent="0.25">
      <c r="A153" t="s">
        <v>450</v>
      </c>
      <c r="B153" s="3" t="s">
        <v>33</v>
      </c>
      <c r="C153" s="3" t="s">
        <v>9</v>
      </c>
      <c r="D153" s="4">
        <v>0</v>
      </c>
      <c r="E153" s="11">
        <v>26.96</v>
      </c>
      <c r="F153" s="9">
        <f t="shared" si="10"/>
        <v>0</v>
      </c>
      <c r="G153" s="3" t="str">
        <f t="shared" si="11"/>
        <v/>
      </c>
      <c r="J153" s="3" t="str">
        <f t="shared" si="12"/>
        <v/>
      </c>
      <c r="K153" s="3" t="str">
        <f t="shared" si="13"/>
        <v/>
      </c>
      <c r="L153" s="9" t="str">
        <f t="shared" si="14"/>
        <v/>
      </c>
      <c r="M153" s="3">
        <v>1</v>
      </c>
      <c r="N153" s="3">
        <v>1</v>
      </c>
      <c r="O153" s="15">
        <v>0</v>
      </c>
    </row>
    <row r="154" spans="1:15" x14ac:dyDescent="0.25">
      <c r="A154" t="s">
        <v>239</v>
      </c>
      <c r="B154" s="3" t="s">
        <v>83</v>
      </c>
      <c r="C154" s="3" t="s">
        <v>9</v>
      </c>
      <c r="D154" s="4">
        <v>33</v>
      </c>
      <c r="E154" s="11">
        <v>8.6958312510411453</v>
      </c>
      <c r="F154" s="9">
        <f t="shared" si="10"/>
        <v>286.96243128435782</v>
      </c>
      <c r="G154" s="3" t="str">
        <f t="shared" si="11"/>
        <v/>
      </c>
      <c r="H154" s="3">
        <v>0</v>
      </c>
      <c r="I154" s="3">
        <v>0</v>
      </c>
      <c r="J154" s="3" t="str">
        <f t="shared" si="12"/>
        <v/>
      </c>
      <c r="K154" s="3" t="str">
        <f t="shared" si="13"/>
        <v/>
      </c>
      <c r="L154" s="9" t="str">
        <f t="shared" si="14"/>
        <v/>
      </c>
      <c r="M154" s="3">
        <v>3</v>
      </c>
      <c r="N154" s="3">
        <v>25</v>
      </c>
      <c r="O154" s="15">
        <v>20</v>
      </c>
    </row>
    <row r="155" spans="1:15" x14ac:dyDescent="0.25">
      <c r="A155" t="s">
        <v>74</v>
      </c>
      <c r="B155" s="3" t="s">
        <v>83</v>
      </c>
      <c r="C155" s="3" t="s">
        <v>9</v>
      </c>
      <c r="D155" s="4">
        <v>321</v>
      </c>
      <c r="E155" s="11">
        <v>10.692231125579067</v>
      </c>
      <c r="F155" s="9">
        <f t="shared" si="10"/>
        <v>3432.2061913108805</v>
      </c>
      <c r="G155" s="3" t="str">
        <f t="shared" si="11"/>
        <v/>
      </c>
      <c r="H155" s="3">
        <v>0</v>
      </c>
      <c r="I155" s="3">
        <v>0</v>
      </c>
      <c r="J155" s="3" t="str">
        <f t="shared" si="12"/>
        <v/>
      </c>
      <c r="K155" s="3" t="str">
        <f t="shared" si="13"/>
        <v/>
      </c>
      <c r="L155" s="9" t="str">
        <f t="shared" si="14"/>
        <v/>
      </c>
      <c r="M155" s="3">
        <v>4</v>
      </c>
      <c r="N155" s="3">
        <v>14</v>
      </c>
      <c r="O155" s="15">
        <v>34</v>
      </c>
    </row>
    <row r="156" spans="1:15" x14ac:dyDescent="0.25">
      <c r="A156" t="s">
        <v>451</v>
      </c>
      <c r="B156" s="3" t="s">
        <v>33</v>
      </c>
      <c r="C156" s="3" t="s">
        <v>9</v>
      </c>
      <c r="D156" s="4">
        <v>0</v>
      </c>
      <c r="E156" s="11">
        <v>3.28</v>
      </c>
      <c r="F156" s="9">
        <f t="shared" si="10"/>
        <v>0</v>
      </c>
      <c r="G156" s="3" t="str">
        <f t="shared" si="11"/>
        <v/>
      </c>
      <c r="J156" s="3" t="str">
        <f t="shared" si="12"/>
        <v/>
      </c>
      <c r="K156" s="3" t="str">
        <f t="shared" si="13"/>
        <v/>
      </c>
      <c r="L156" s="9" t="str">
        <f t="shared" si="14"/>
        <v/>
      </c>
      <c r="M156" s="3">
        <v>1</v>
      </c>
      <c r="N156" s="3">
        <v>1</v>
      </c>
      <c r="O156" s="15">
        <v>0</v>
      </c>
    </row>
    <row r="157" spans="1:15" x14ac:dyDescent="0.25">
      <c r="A157" t="s">
        <v>452</v>
      </c>
      <c r="B157" s="3" t="s">
        <v>33</v>
      </c>
      <c r="C157" s="3" t="s">
        <v>9</v>
      </c>
      <c r="D157" s="4">
        <v>1</v>
      </c>
      <c r="E157" s="11">
        <v>5</v>
      </c>
      <c r="F157" s="9">
        <f t="shared" si="10"/>
        <v>5</v>
      </c>
      <c r="G157" s="3" t="str">
        <f t="shared" si="11"/>
        <v/>
      </c>
      <c r="J157" s="3" t="str">
        <f t="shared" si="12"/>
        <v/>
      </c>
      <c r="K157" s="3" t="str">
        <f t="shared" si="13"/>
        <v/>
      </c>
      <c r="L157" s="9" t="str">
        <f t="shared" si="14"/>
        <v/>
      </c>
      <c r="M157" s="3">
        <v>3</v>
      </c>
      <c r="N157" s="3">
        <v>2</v>
      </c>
      <c r="O157" s="15">
        <v>0</v>
      </c>
    </row>
    <row r="158" spans="1:15" x14ac:dyDescent="0.25">
      <c r="A158" t="s">
        <v>240</v>
      </c>
      <c r="B158" s="3" t="s">
        <v>33</v>
      </c>
      <c r="C158" s="3" t="s">
        <v>9</v>
      </c>
      <c r="D158" s="4">
        <v>-2</v>
      </c>
      <c r="E158" s="11">
        <v>2.2200000000000002</v>
      </c>
      <c r="F158" s="9">
        <f t="shared" si="10"/>
        <v>-4.4400000000000004</v>
      </c>
      <c r="G158" s="3" t="str">
        <f t="shared" si="11"/>
        <v/>
      </c>
      <c r="H158" s="3">
        <v>0</v>
      </c>
      <c r="I158" s="3">
        <v>0</v>
      </c>
      <c r="J158" s="3" t="str">
        <f t="shared" si="12"/>
        <v/>
      </c>
      <c r="K158" s="3" t="str">
        <f t="shared" si="13"/>
        <v/>
      </c>
      <c r="L158" s="9" t="str">
        <f t="shared" si="14"/>
        <v/>
      </c>
      <c r="N158" s="3">
        <v>5</v>
      </c>
      <c r="O158" s="15">
        <v>4</v>
      </c>
    </row>
    <row r="159" spans="1:15" x14ac:dyDescent="0.25">
      <c r="A159" t="s">
        <v>241</v>
      </c>
      <c r="B159" s="3" t="s">
        <v>33</v>
      </c>
      <c r="C159" s="3" t="s">
        <v>9</v>
      </c>
      <c r="D159" s="4">
        <v>1</v>
      </c>
      <c r="E159" s="11">
        <v>3.5874999999999999</v>
      </c>
      <c r="F159" s="9">
        <f t="shared" si="10"/>
        <v>3.5874999999999999</v>
      </c>
      <c r="G159" s="3" t="str">
        <f t="shared" si="11"/>
        <v/>
      </c>
      <c r="J159" s="3" t="str">
        <f t="shared" si="12"/>
        <v/>
      </c>
      <c r="K159" s="3" t="str">
        <f t="shared" si="13"/>
        <v/>
      </c>
      <c r="L159" s="9" t="str">
        <f t="shared" si="14"/>
        <v/>
      </c>
      <c r="M159" s="3">
        <v>2</v>
      </c>
      <c r="N159" s="3">
        <v>11</v>
      </c>
      <c r="O159" s="15">
        <v>0</v>
      </c>
    </row>
    <row r="160" spans="1:15" x14ac:dyDescent="0.25">
      <c r="A160" t="s">
        <v>242</v>
      </c>
      <c r="B160" s="3" t="s">
        <v>10</v>
      </c>
      <c r="C160" s="3" t="s">
        <v>9</v>
      </c>
      <c r="D160" s="4">
        <v>10</v>
      </c>
      <c r="E160" s="11">
        <v>2.78</v>
      </c>
      <c r="F160" s="9">
        <f t="shared" si="10"/>
        <v>27.799999999999997</v>
      </c>
      <c r="G160" s="3" t="str">
        <f t="shared" si="11"/>
        <v/>
      </c>
      <c r="J160" s="3" t="str">
        <f t="shared" si="12"/>
        <v/>
      </c>
      <c r="K160" s="3" t="str">
        <f t="shared" si="13"/>
        <v/>
      </c>
      <c r="L160" s="9" t="str">
        <f t="shared" si="14"/>
        <v/>
      </c>
      <c r="M160" s="3">
        <v>1</v>
      </c>
      <c r="N160" s="3"/>
      <c r="O160" s="15">
        <v>0</v>
      </c>
    </row>
    <row r="161" spans="1:15" x14ac:dyDescent="0.25">
      <c r="A161" t="s">
        <v>243</v>
      </c>
      <c r="B161" s="3" t="s">
        <v>10</v>
      </c>
      <c r="C161" s="3" t="s">
        <v>9</v>
      </c>
      <c r="D161" s="4">
        <v>12</v>
      </c>
      <c r="E161" s="11">
        <v>6.96</v>
      </c>
      <c r="F161" s="9">
        <f t="shared" si="10"/>
        <v>83.52</v>
      </c>
      <c r="G161" s="3" t="str">
        <f t="shared" si="11"/>
        <v/>
      </c>
      <c r="J161" s="3" t="str">
        <f t="shared" si="12"/>
        <v/>
      </c>
      <c r="K161" s="3" t="str">
        <f t="shared" si="13"/>
        <v/>
      </c>
      <c r="L161" s="9" t="str">
        <f t="shared" si="14"/>
        <v/>
      </c>
      <c r="M161" s="3">
        <v>1</v>
      </c>
      <c r="N161" s="3"/>
      <c r="O161" s="15">
        <v>0</v>
      </c>
    </row>
    <row r="162" spans="1:15" x14ac:dyDescent="0.25">
      <c r="A162" t="s">
        <v>244</v>
      </c>
      <c r="B162" s="3" t="s">
        <v>10</v>
      </c>
      <c r="C162" s="3" t="s">
        <v>9</v>
      </c>
      <c r="D162" s="4">
        <v>10</v>
      </c>
      <c r="E162" s="11">
        <v>1.7</v>
      </c>
      <c r="F162" s="9">
        <f t="shared" si="10"/>
        <v>17</v>
      </c>
      <c r="G162" s="3" t="str">
        <f t="shared" si="11"/>
        <v/>
      </c>
      <c r="J162" s="3" t="str">
        <f t="shared" si="12"/>
        <v/>
      </c>
      <c r="K162" s="3" t="str">
        <f t="shared" si="13"/>
        <v/>
      </c>
      <c r="L162" s="9" t="str">
        <f t="shared" si="14"/>
        <v/>
      </c>
      <c r="M162" s="3">
        <v>1</v>
      </c>
      <c r="N162" s="3"/>
      <c r="O162" s="15">
        <v>0</v>
      </c>
    </row>
    <row r="163" spans="1:15" x14ac:dyDescent="0.25">
      <c r="A163" t="s">
        <v>245</v>
      </c>
      <c r="B163" s="3" t="s">
        <v>33</v>
      </c>
      <c r="C163" s="3" t="s">
        <v>9</v>
      </c>
      <c r="D163" s="4">
        <v>2</v>
      </c>
      <c r="E163" s="11">
        <v>5.6</v>
      </c>
      <c r="F163" s="9">
        <f t="shared" si="10"/>
        <v>11.2</v>
      </c>
      <c r="G163" s="3" t="str">
        <f t="shared" si="11"/>
        <v/>
      </c>
      <c r="J163" s="3" t="str">
        <f t="shared" si="12"/>
        <v/>
      </c>
      <c r="K163" s="3" t="str">
        <f t="shared" si="13"/>
        <v/>
      </c>
      <c r="L163" s="9" t="str">
        <f t="shared" si="14"/>
        <v/>
      </c>
      <c r="M163" s="3">
        <v>1</v>
      </c>
      <c r="N163" s="3">
        <v>1</v>
      </c>
      <c r="O163" s="15">
        <v>0</v>
      </c>
    </row>
    <row r="164" spans="1:15" x14ac:dyDescent="0.25">
      <c r="A164" t="s">
        <v>246</v>
      </c>
      <c r="B164" s="3" t="s">
        <v>33</v>
      </c>
      <c r="C164" s="3" t="s">
        <v>9</v>
      </c>
      <c r="D164" s="4">
        <v>23</v>
      </c>
      <c r="E164" s="11">
        <v>2</v>
      </c>
      <c r="F164" s="9">
        <f t="shared" si="10"/>
        <v>46</v>
      </c>
      <c r="G164" s="3" t="str">
        <f t="shared" si="11"/>
        <v/>
      </c>
      <c r="J164" s="3" t="str">
        <f t="shared" si="12"/>
        <v/>
      </c>
      <c r="K164" s="3" t="str">
        <f t="shared" si="13"/>
        <v/>
      </c>
      <c r="L164" s="9" t="str">
        <f t="shared" si="14"/>
        <v/>
      </c>
      <c r="M164" s="3">
        <v>1</v>
      </c>
      <c r="N164" s="3">
        <v>2</v>
      </c>
      <c r="O164" s="15">
        <v>0</v>
      </c>
    </row>
    <row r="165" spans="1:15" x14ac:dyDescent="0.25">
      <c r="A165" t="s">
        <v>247</v>
      </c>
      <c r="B165" s="3" t="s">
        <v>33</v>
      </c>
      <c r="C165" s="3" t="s">
        <v>9</v>
      </c>
      <c r="D165" s="4">
        <v>2</v>
      </c>
      <c r="E165" s="11">
        <v>2</v>
      </c>
      <c r="F165" s="9">
        <f t="shared" si="10"/>
        <v>4</v>
      </c>
      <c r="G165" s="3" t="str">
        <f t="shared" si="11"/>
        <v/>
      </c>
      <c r="H165" s="3">
        <v>0</v>
      </c>
      <c r="I165" s="3">
        <v>0</v>
      </c>
      <c r="J165" s="3" t="str">
        <f t="shared" si="12"/>
        <v/>
      </c>
      <c r="K165" s="3" t="str">
        <f t="shared" si="13"/>
        <v/>
      </c>
      <c r="L165" s="9" t="str">
        <f t="shared" si="14"/>
        <v/>
      </c>
      <c r="N165" s="3"/>
      <c r="O165" s="15">
        <v>2</v>
      </c>
    </row>
    <row r="166" spans="1:15" x14ac:dyDescent="0.25">
      <c r="A166" t="s">
        <v>248</v>
      </c>
      <c r="B166" s="3" t="s">
        <v>33</v>
      </c>
      <c r="C166" s="3" t="s">
        <v>9</v>
      </c>
      <c r="D166" s="4">
        <v>2</v>
      </c>
      <c r="E166" s="11">
        <v>4.16</v>
      </c>
      <c r="F166" s="9">
        <f t="shared" si="10"/>
        <v>8.32</v>
      </c>
      <c r="G166" s="3" t="str">
        <f t="shared" si="11"/>
        <v/>
      </c>
      <c r="H166" s="3">
        <v>0</v>
      </c>
      <c r="I166" s="3">
        <v>0</v>
      </c>
      <c r="J166" s="3" t="str">
        <f t="shared" si="12"/>
        <v/>
      </c>
      <c r="K166" s="3" t="str">
        <f t="shared" si="13"/>
        <v/>
      </c>
      <c r="L166" s="9" t="str">
        <f t="shared" si="14"/>
        <v/>
      </c>
      <c r="N166" s="3">
        <v>1</v>
      </c>
      <c r="O166" s="15">
        <v>3</v>
      </c>
    </row>
    <row r="167" spans="1:15" x14ac:dyDescent="0.25">
      <c r="A167" t="s">
        <v>249</v>
      </c>
      <c r="B167" s="3" t="s">
        <v>33</v>
      </c>
      <c r="C167" s="3" t="s">
        <v>9</v>
      </c>
      <c r="D167" s="4">
        <v>4</v>
      </c>
      <c r="E167" s="11">
        <v>1.29</v>
      </c>
      <c r="F167" s="9">
        <f t="shared" si="10"/>
        <v>5.16</v>
      </c>
      <c r="G167" s="3" t="str">
        <f t="shared" si="11"/>
        <v/>
      </c>
      <c r="H167" s="3">
        <v>0</v>
      </c>
      <c r="I167" s="3">
        <v>0</v>
      </c>
      <c r="J167" s="3" t="str">
        <f t="shared" si="12"/>
        <v/>
      </c>
      <c r="K167" s="3" t="str">
        <f t="shared" si="13"/>
        <v/>
      </c>
      <c r="L167" s="9" t="str">
        <f t="shared" si="14"/>
        <v/>
      </c>
      <c r="N167" s="3"/>
      <c r="O167" s="15">
        <v>4</v>
      </c>
    </row>
    <row r="168" spans="1:15" x14ac:dyDescent="0.25">
      <c r="A168" t="s">
        <v>250</v>
      </c>
      <c r="B168" s="3" t="s">
        <v>33</v>
      </c>
      <c r="C168" s="3" t="s">
        <v>9</v>
      </c>
      <c r="D168" s="4">
        <v>1</v>
      </c>
      <c r="E168" s="11">
        <v>2.09</v>
      </c>
      <c r="F168" s="9">
        <f t="shared" si="10"/>
        <v>2.09</v>
      </c>
      <c r="G168" s="3" t="str">
        <f t="shared" si="11"/>
        <v/>
      </c>
      <c r="H168" s="3">
        <v>0</v>
      </c>
      <c r="I168" s="3">
        <v>0</v>
      </c>
      <c r="J168" s="3" t="str">
        <f t="shared" si="12"/>
        <v/>
      </c>
      <c r="K168" s="3" t="str">
        <f t="shared" si="13"/>
        <v/>
      </c>
      <c r="L168" s="9" t="str">
        <f t="shared" si="14"/>
        <v/>
      </c>
      <c r="N168" s="3"/>
      <c r="O168" s="15">
        <v>1</v>
      </c>
    </row>
    <row r="169" spans="1:15" x14ac:dyDescent="0.25">
      <c r="A169" t="s">
        <v>251</v>
      </c>
      <c r="B169" s="3" t="s">
        <v>33</v>
      </c>
      <c r="C169" s="3" t="s">
        <v>9</v>
      </c>
      <c r="D169" s="4">
        <v>0</v>
      </c>
      <c r="E169" s="11">
        <v>13.04</v>
      </c>
      <c r="F169" s="9">
        <f t="shared" si="10"/>
        <v>0</v>
      </c>
      <c r="G169" s="3" t="str">
        <f t="shared" si="11"/>
        <v/>
      </c>
      <c r="J169" s="3" t="str">
        <f t="shared" si="12"/>
        <v/>
      </c>
      <c r="K169" s="3" t="str">
        <f t="shared" si="13"/>
        <v/>
      </c>
      <c r="L169" s="9" t="str">
        <f t="shared" si="14"/>
        <v/>
      </c>
      <c r="M169" s="3">
        <v>1</v>
      </c>
      <c r="N169" s="3">
        <v>1</v>
      </c>
      <c r="O169" s="15">
        <v>0</v>
      </c>
    </row>
    <row r="170" spans="1:15" x14ac:dyDescent="0.25">
      <c r="A170" t="s">
        <v>453</v>
      </c>
      <c r="B170" s="3" t="s">
        <v>33</v>
      </c>
      <c r="C170" s="3" t="s">
        <v>9</v>
      </c>
      <c r="D170" s="4">
        <v>1</v>
      </c>
      <c r="E170" s="11">
        <v>26.09</v>
      </c>
      <c r="F170" s="9">
        <f t="shared" si="10"/>
        <v>26.09</v>
      </c>
      <c r="G170" s="3" t="str">
        <f t="shared" si="11"/>
        <v/>
      </c>
      <c r="J170" s="3" t="str">
        <f t="shared" si="12"/>
        <v/>
      </c>
      <c r="K170" s="3" t="str">
        <f t="shared" si="13"/>
        <v/>
      </c>
      <c r="L170" s="9" t="str">
        <f t="shared" si="14"/>
        <v/>
      </c>
      <c r="M170" s="3">
        <v>1</v>
      </c>
      <c r="N170" s="3"/>
      <c r="O170" s="15">
        <v>0</v>
      </c>
    </row>
    <row r="171" spans="1:15" x14ac:dyDescent="0.25">
      <c r="A171" t="s">
        <v>454</v>
      </c>
      <c r="B171" s="3" t="s">
        <v>33</v>
      </c>
      <c r="C171" s="3" t="s">
        <v>9</v>
      </c>
      <c r="D171" s="4">
        <v>1</v>
      </c>
      <c r="E171" s="11">
        <v>10.8</v>
      </c>
      <c r="F171" s="9">
        <f t="shared" si="10"/>
        <v>10.8</v>
      </c>
      <c r="G171" s="3" t="str">
        <f t="shared" si="11"/>
        <v/>
      </c>
      <c r="J171" s="3" t="str">
        <f t="shared" si="12"/>
        <v/>
      </c>
      <c r="K171" s="3" t="str">
        <f t="shared" si="13"/>
        <v/>
      </c>
      <c r="L171" s="9" t="str">
        <f t="shared" si="14"/>
        <v/>
      </c>
      <c r="M171" s="3">
        <v>1</v>
      </c>
      <c r="N171" s="3"/>
      <c r="O171" s="15">
        <v>0</v>
      </c>
    </row>
    <row r="172" spans="1:15" x14ac:dyDescent="0.25">
      <c r="A172" t="s">
        <v>455</v>
      </c>
      <c r="B172" s="3" t="s">
        <v>33</v>
      </c>
      <c r="C172" s="3" t="s">
        <v>9</v>
      </c>
      <c r="D172" s="4">
        <v>-1</v>
      </c>
      <c r="E172" s="11">
        <v>3.36</v>
      </c>
      <c r="F172" s="9">
        <f t="shared" si="10"/>
        <v>-3.36</v>
      </c>
      <c r="G172" s="3" t="str">
        <f t="shared" si="11"/>
        <v/>
      </c>
      <c r="J172" s="3" t="str">
        <f t="shared" si="12"/>
        <v/>
      </c>
      <c r="K172" s="3" t="str">
        <f t="shared" si="13"/>
        <v/>
      </c>
      <c r="L172" s="9" t="str">
        <f t="shared" si="14"/>
        <v/>
      </c>
      <c r="M172" s="3">
        <v>1</v>
      </c>
      <c r="N172" s="3">
        <v>2</v>
      </c>
      <c r="O172" s="15">
        <v>0</v>
      </c>
    </row>
    <row r="173" spans="1:15" x14ac:dyDescent="0.25">
      <c r="A173" t="s">
        <v>456</v>
      </c>
      <c r="B173" s="3" t="s">
        <v>33</v>
      </c>
      <c r="C173" s="3" t="s">
        <v>9</v>
      </c>
      <c r="D173" s="4">
        <v>0</v>
      </c>
      <c r="E173" s="11">
        <v>3.36</v>
      </c>
      <c r="F173" s="9">
        <f t="shared" si="10"/>
        <v>0</v>
      </c>
      <c r="G173" s="3" t="str">
        <f t="shared" si="11"/>
        <v/>
      </c>
      <c r="J173" s="3" t="str">
        <f t="shared" si="12"/>
        <v/>
      </c>
      <c r="K173" s="3" t="str">
        <f t="shared" si="13"/>
        <v/>
      </c>
      <c r="L173" s="9" t="str">
        <f t="shared" si="14"/>
        <v/>
      </c>
      <c r="M173" s="3">
        <v>1</v>
      </c>
      <c r="N173" s="3">
        <v>1</v>
      </c>
      <c r="O173" s="15">
        <v>0</v>
      </c>
    </row>
    <row r="174" spans="1:15" x14ac:dyDescent="0.25">
      <c r="A174" t="s">
        <v>457</v>
      </c>
      <c r="B174" s="3" t="s">
        <v>33</v>
      </c>
      <c r="C174" s="3" t="s">
        <v>9</v>
      </c>
      <c r="D174" s="4">
        <v>0</v>
      </c>
      <c r="E174" s="11">
        <v>10.43</v>
      </c>
      <c r="F174" s="9">
        <f t="shared" si="10"/>
        <v>0</v>
      </c>
      <c r="G174" s="3" t="str">
        <f t="shared" si="11"/>
        <v/>
      </c>
      <c r="J174" s="3" t="str">
        <f t="shared" si="12"/>
        <v/>
      </c>
      <c r="K174" s="3" t="str">
        <f t="shared" si="13"/>
        <v/>
      </c>
      <c r="L174" s="9" t="str">
        <f t="shared" si="14"/>
        <v/>
      </c>
      <c r="M174" s="3">
        <v>1</v>
      </c>
      <c r="N174" s="3">
        <v>1</v>
      </c>
      <c r="O174" s="15">
        <v>0</v>
      </c>
    </row>
    <row r="175" spans="1:15" x14ac:dyDescent="0.25">
      <c r="A175" t="s">
        <v>458</v>
      </c>
      <c r="B175" s="3" t="s">
        <v>33</v>
      </c>
      <c r="C175" s="3" t="s">
        <v>9</v>
      </c>
      <c r="D175" s="4">
        <v>0</v>
      </c>
      <c r="E175" s="11">
        <v>15.65</v>
      </c>
      <c r="F175" s="9">
        <f t="shared" si="10"/>
        <v>0</v>
      </c>
      <c r="G175" s="3" t="str">
        <f t="shared" si="11"/>
        <v/>
      </c>
      <c r="J175" s="3" t="str">
        <f t="shared" si="12"/>
        <v/>
      </c>
      <c r="K175" s="3" t="str">
        <f t="shared" si="13"/>
        <v/>
      </c>
      <c r="L175" s="9" t="str">
        <f t="shared" si="14"/>
        <v/>
      </c>
      <c r="M175" s="3">
        <v>1</v>
      </c>
      <c r="N175" s="3">
        <v>1</v>
      </c>
      <c r="O175" s="15">
        <v>0</v>
      </c>
    </row>
    <row r="176" spans="1:15" x14ac:dyDescent="0.25">
      <c r="A176" t="s">
        <v>459</v>
      </c>
      <c r="B176" s="3" t="s">
        <v>33</v>
      </c>
      <c r="C176" s="3" t="s">
        <v>9</v>
      </c>
      <c r="D176" s="4">
        <v>0</v>
      </c>
      <c r="E176" s="11">
        <v>3.75</v>
      </c>
      <c r="F176" s="9">
        <f t="shared" si="10"/>
        <v>0</v>
      </c>
      <c r="G176" s="3" t="str">
        <f t="shared" si="11"/>
        <v/>
      </c>
      <c r="J176" s="3" t="str">
        <f t="shared" si="12"/>
        <v/>
      </c>
      <c r="K176" s="3" t="str">
        <f t="shared" si="13"/>
        <v/>
      </c>
      <c r="L176" s="9" t="str">
        <f t="shared" si="14"/>
        <v/>
      </c>
      <c r="M176" s="3">
        <v>1</v>
      </c>
      <c r="N176" s="3">
        <v>1</v>
      </c>
      <c r="O176" s="15">
        <v>0</v>
      </c>
    </row>
    <row r="177" spans="1:15" x14ac:dyDescent="0.25">
      <c r="A177" t="s">
        <v>252</v>
      </c>
      <c r="B177" s="3" t="s">
        <v>33</v>
      </c>
      <c r="C177" s="3" t="s">
        <v>9</v>
      </c>
      <c r="D177" s="4">
        <v>-4</v>
      </c>
      <c r="E177" s="11">
        <v>0.53</v>
      </c>
      <c r="F177" s="9">
        <f t="shared" si="10"/>
        <v>-2.12</v>
      </c>
      <c r="G177" s="3" t="str">
        <f t="shared" si="11"/>
        <v/>
      </c>
      <c r="J177" s="3" t="str">
        <f t="shared" si="12"/>
        <v/>
      </c>
      <c r="K177" s="3" t="str">
        <f t="shared" si="13"/>
        <v/>
      </c>
      <c r="L177" s="9" t="str">
        <f t="shared" si="14"/>
        <v/>
      </c>
      <c r="M177" s="3">
        <v>1</v>
      </c>
      <c r="N177" s="3">
        <v>2</v>
      </c>
      <c r="O177" s="15">
        <v>0</v>
      </c>
    </row>
    <row r="178" spans="1:15" x14ac:dyDescent="0.25">
      <c r="A178" t="s">
        <v>253</v>
      </c>
      <c r="B178" s="3" t="s">
        <v>33</v>
      </c>
      <c r="C178" s="3" t="s">
        <v>9</v>
      </c>
      <c r="D178" s="4">
        <v>2</v>
      </c>
      <c r="E178" s="11">
        <v>0.81</v>
      </c>
      <c r="F178" s="9">
        <f t="shared" si="10"/>
        <v>1.62</v>
      </c>
      <c r="G178" s="3" t="str">
        <f t="shared" si="11"/>
        <v/>
      </c>
      <c r="J178" s="3" t="str">
        <f t="shared" si="12"/>
        <v/>
      </c>
      <c r="K178" s="3" t="str">
        <f t="shared" si="13"/>
        <v/>
      </c>
      <c r="L178" s="9" t="str">
        <f t="shared" si="14"/>
        <v/>
      </c>
      <c r="M178" s="3">
        <v>1</v>
      </c>
      <c r="N178" s="3"/>
      <c r="O178" s="15">
        <v>0</v>
      </c>
    </row>
    <row r="179" spans="1:15" x14ac:dyDescent="0.25">
      <c r="A179" t="s">
        <v>460</v>
      </c>
      <c r="B179" s="3" t="s">
        <v>33</v>
      </c>
      <c r="C179" s="3" t="s">
        <v>9</v>
      </c>
      <c r="D179" s="4">
        <v>0</v>
      </c>
      <c r="E179" s="11">
        <v>0.86</v>
      </c>
      <c r="F179" s="9">
        <f t="shared" si="10"/>
        <v>0</v>
      </c>
      <c r="G179" s="3" t="str">
        <f t="shared" si="11"/>
        <v/>
      </c>
      <c r="J179" s="3" t="str">
        <f t="shared" si="12"/>
        <v/>
      </c>
      <c r="K179" s="3" t="str">
        <f t="shared" si="13"/>
        <v/>
      </c>
      <c r="L179" s="9" t="str">
        <f t="shared" si="14"/>
        <v/>
      </c>
      <c r="M179" s="3">
        <v>1</v>
      </c>
      <c r="N179" s="3">
        <v>1</v>
      </c>
      <c r="O179" s="15">
        <v>0</v>
      </c>
    </row>
    <row r="180" spans="1:15" x14ac:dyDescent="0.25">
      <c r="A180" t="s">
        <v>254</v>
      </c>
      <c r="B180" s="3" t="s">
        <v>33</v>
      </c>
      <c r="C180" s="3" t="s">
        <v>9</v>
      </c>
      <c r="D180" s="4">
        <v>3</v>
      </c>
      <c r="E180" s="11">
        <v>3.26</v>
      </c>
      <c r="F180" s="9">
        <f t="shared" si="10"/>
        <v>9.7799999999999994</v>
      </c>
      <c r="G180" s="3" t="str">
        <f t="shared" si="11"/>
        <v/>
      </c>
      <c r="H180" s="3">
        <v>0</v>
      </c>
      <c r="I180" s="3">
        <v>0</v>
      </c>
      <c r="J180" s="3" t="str">
        <f t="shared" si="12"/>
        <v/>
      </c>
      <c r="K180" s="3" t="str">
        <f t="shared" si="13"/>
        <v/>
      </c>
      <c r="L180" s="9" t="str">
        <f t="shared" si="14"/>
        <v/>
      </c>
      <c r="N180" s="3"/>
      <c r="O180" s="15">
        <v>3</v>
      </c>
    </row>
    <row r="181" spans="1:15" x14ac:dyDescent="0.25">
      <c r="A181" t="s">
        <v>255</v>
      </c>
      <c r="B181" s="3" t="s">
        <v>33</v>
      </c>
      <c r="C181" s="3" t="s">
        <v>9</v>
      </c>
      <c r="D181" s="4">
        <v>3</v>
      </c>
      <c r="E181" s="11">
        <v>32.93</v>
      </c>
      <c r="F181" s="9">
        <f t="shared" si="10"/>
        <v>98.789999999999992</v>
      </c>
      <c r="G181" s="3" t="str">
        <f t="shared" si="11"/>
        <v/>
      </c>
      <c r="J181" s="3" t="str">
        <f t="shared" si="12"/>
        <v/>
      </c>
      <c r="K181" s="3" t="str">
        <f t="shared" si="13"/>
        <v/>
      </c>
      <c r="L181" s="9" t="str">
        <f t="shared" si="14"/>
        <v/>
      </c>
      <c r="M181" s="3">
        <v>1</v>
      </c>
      <c r="N181" s="3"/>
      <c r="O181" s="15">
        <v>0</v>
      </c>
    </row>
    <row r="182" spans="1:15" x14ac:dyDescent="0.25">
      <c r="A182" t="s">
        <v>256</v>
      </c>
      <c r="B182" s="3" t="s">
        <v>33</v>
      </c>
      <c r="C182" s="3" t="s">
        <v>9</v>
      </c>
      <c r="D182" s="18">
        <v>1</v>
      </c>
      <c r="E182" s="11">
        <v>5</v>
      </c>
      <c r="F182" s="9">
        <f t="shared" si="10"/>
        <v>5</v>
      </c>
      <c r="G182" s="3" t="str">
        <f t="shared" si="11"/>
        <v/>
      </c>
      <c r="H182" s="3">
        <v>0</v>
      </c>
      <c r="I182" s="3">
        <v>0</v>
      </c>
      <c r="J182" s="3" t="str">
        <f t="shared" si="12"/>
        <v/>
      </c>
      <c r="K182" s="3" t="str">
        <f t="shared" si="13"/>
        <v/>
      </c>
      <c r="L182" s="9" t="str">
        <f t="shared" si="14"/>
        <v/>
      </c>
      <c r="N182" s="3"/>
      <c r="O182" s="16">
        <v>1</v>
      </c>
    </row>
    <row r="183" spans="1:15" x14ac:dyDescent="0.25">
      <c r="A183" t="s">
        <v>257</v>
      </c>
      <c r="B183" s="3" t="s">
        <v>33</v>
      </c>
      <c r="C183" s="3" t="s">
        <v>9</v>
      </c>
      <c r="D183" s="4">
        <v>1</v>
      </c>
      <c r="E183" s="11">
        <v>5</v>
      </c>
      <c r="F183" s="9">
        <f t="shared" si="10"/>
        <v>5</v>
      </c>
      <c r="G183" s="3" t="str">
        <f t="shared" si="11"/>
        <v/>
      </c>
      <c r="H183" s="3">
        <v>0</v>
      </c>
      <c r="I183" s="3">
        <v>0</v>
      </c>
      <c r="J183" s="3" t="str">
        <f t="shared" si="12"/>
        <v/>
      </c>
      <c r="K183" s="3" t="str">
        <f t="shared" si="13"/>
        <v/>
      </c>
      <c r="L183" s="9" t="str">
        <f t="shared" si="14"/>
        <v/>
      </c>
      <c r="N183" s="3"/>
      <c r="O183" s="15">
        <v>1</v>
      </c>
    </row>
    <row r="184" spans="1:15" x14ac:dyDescent="0.25">
      <c r="A184" t="s">
        <v>258</v>
      </c>
      <c r="B184" s="3" t="s">
        <v>33</v>
      </c>
      <c r="C184" s="3" t="s">
        <v>9</v>
      </c>
      <c r="D184" s="4">
        <v>1</v>
      </c>
      <c r="E184" s="11">
        <v>5</v>
      </c>
      <c r="F184" s="9">
        <f t="shared" si="10"/>
        <v>5</v>
      </c>
      <c r="G184" s="3" t="str">
        <f t="shared" si="11"/>
        <v/>
      </c>
      <c r="H184" s="3">
        <v>0</v>
      </c>
      <c r="I184" s="3">
        <v>0</v>
      </c>
      <c r="J184" s="3" t="str">
        <f t="shared" si="12"/>
        <v/>
      </c>
      <c r="K184" s="3" t="str">
        <f t="shared" si="13"/>
        <v/>
      </c>
      <c r="L184" s="9" t="str">
        <f t="shared" si="14"/>
        <v/>
      </c>
      <c r="N184" s="3"/>
      <c r="O184" s="15">
        <v>1</v>
      </c>
    </row>
    <row r="185" spans="1:15" x14ac:dyDescent="0.25">
      <c r="A185" t="s">
        <v>259</v>
      </c>
      <c r="B185" s="3" t="s">
        <v>33</v>
      </c>
      <c r="C185" s="3" t="s">
        <v>9</v>
      </c>
      <c r="D185" s="4">
        <v>-1</v>
      </c>
      <c r="E185" s="11">
        <v>15</v>
      </c>
      <c r="F185" s="9">
        <f t="shared" si="10"/>
        <v>-15</v>
      </c>
      <c r="G185" s="3" t="str">
        <f t="shared" si="11"/>
        <v/>
      </c>
      <c r="H185" s="3">
        <v>0</v>
      </c>
      <c r="I185" s="3">
        <v>0</v>
      </c>
      <c r="J185" s="3" t="str">
        <f t="shared" si="12"/>
        <v/>
      </c>
      <c r="K185" s="3" t="str">
        <f t="shared" si="13"/>
        <v/>
      </c>
      <c r="L185" s="9" t="str">
        <f t="shared" si="14"/>
        <v/>
      </c>
      <c r="N185" s="3">
        <v>1</v>
      </c>
      <c r="O185" s="15">
        <v>2</v>
      </c>
    </row>
    <row r="186" spans="1:15" x14ac:dyDescent="0.25">
      <c r="A186" t="s">
        <v>260</v>
      </c>
      <c r="B186" s="3" t="s">
        <v>33</v>
      </c>
      <c r="C186" s="3" t="s">
        <v>9</v>
      </c>
      <c r="D186" s="18">
        <v>10</v>
      </c>
      <c r="E186" s="11">
        <v>5</v>
      </c>
      <c r="F186" s="9">
        <f t="shared" si="10"/>
        <v>50</v>
      </c>
      <c r="G186" s="3" t="str">
        <f t="shared" si="11"/>
        <v/>
      </c>
      <c r="H186" s="3">
        <v>0</v>
      </c>
      <c r="I186" s="3">
        <v>0</v>
      </c>
      <c r="J186" s="3" t="str">
        <f t="shared" si="12"/>
        <v/>
      </c>
      <c r="K186" s="3" t="str">
        <f t="shared" si="13"/>
        <v/>
      </c>
      <c r="L186" s="9" t="str">
        <f t="shared" si="14"/>
        <v/>
      </c>
      <c r="N186" s="3"/>
      <c r="O186" s="16">
        <v>10</v>
      </c>
    </row>
    <row r="187" spans="1:15" x14ac:dyDescent="0.25">
      <c r="A187" t="s">
        <v>261</v>
      </c>
      <c r="B187" s="3" t="s">
        <v>33</v>
      </c>
      <c r="C187" s="3" t="s">
        <v>9</v>
      </c>
      <c r="D187" s="4">
        <v>1</v>
      </c>
      <c r="E187" s="11">
        <v>10</v>
      </c>
      <c r="F187" s="9">
        <f t="shared" si="10"/>
        <v>10</v>
      </c>
      <c r="G187" s="3" t="str">
        <f t="shared" si="11"/>
        <v/>
      </c>
      <c r="H187" s="3">
        <v>0</v>
      </c>
      <c r="I187" s="3">
        <v>0</v>
      </c>
      <c r="J187" s="3" t="str">
        <f t="shared" si="12"/>
        <v/>
      </c>
      <c r="K187" s="3" t="str">
        <f t="shared" si="13"/>
        <v/>
      </c>
      <c r="L187" s="9" t="str">
        <f t="shared" si="14"/>
        <v/>
      </c>
      <c r="N187" s="3"/>
      <c r="O187" s="15">
        <v>1</v>
      </c>
    </row>
    <row r="188" spans="1:15" x14ac:dyDescent="0.25">
      <c r="A188" t="s">
        <v>262</v>
      </c>
      <c r="B188" s="3" t="s">
        <v>33</v>
      </c>
      <c r="C188" s="3" t="s">
        <v>9</v>
      </c>
      <c r="D188" s="18">
        <v>6</v>
      </c>
      <c r="E188" s="11">
        <v>5</v>
      </c>
      <c r="F188" s="9">
        <f t="shared" si="10"/>
        <v>30</v>
      </c>
      <c r="G188" s="3" t="str">
        <f t="shared" si="11"/>
        <v/>
      </c>
      <c r="H188" s="3">
        <v>0</v>
      </c>
      <c r="I188" s="3">
        <v>0</v>
      </c>
      <c r="J188" s="3" t="str">
        <f t="shared" si="12"/>
        <v/>
      </c>
      <c r="K188" s="3" t="str">
        <f t="shared" si="13"/>
        <v/>
      </c>
      <c r="L188" s="9" t="str">
        <f t="shared" si="14"/>
        <v/>
      </c>
      <c r="N188" s="3">
        <v>1</v>
      </c>
      <c r="O188" s="16">
        <v>7</v>
      </c>
    </row>
    <row r="189" spans="1:15" x14ac:dyDescent="0.25">
      <c r="A189" t="s">
        <v>263</v>
      </c>
      <c r="B189" s="3" t="s">
        <v>33</v>
      </c>
      <c r="C189" s="3" t="s">
        <v>9</v>
      </c>
      <c r="D189" s="4">
        <v>1</v>
      </c>
      <c r="E189" s="11">
        <v>5</v>
      </c>
      <c r="F189" s="9">
        <f t="shared" si="10"/>
        <v>5</v>
      </c>
      <c r="G189" s="3" t="str">
        <f t="shared" si="11"/>
        <v/>
      </c>
      <c r="H189" s="3">
        <v>0</v>
      </c>
      <c r="I189" s="3">
        <v>0</v>
      </c>
      <c r="J189" s="3" t="str">
        <f t="shared" si="12"/>
        <v/>
      </c>
      <c r="K189" s="3" t="str">
        <f t="shared" si="13"/>
        <v/>
      </c>
      <c r="L189" s="9" t="str">
        <f t="shared" si="14"/>
        <v/>
      </c>
      <c r="N189" s="3"/>
      <c r="O189" s="15">
        <v>1</v>
      </c>
    </row>
    <row r="190" spans="1:15" x14ac:dyDescent="0.25">
      <c r="A190" t="s">
        <v>264</v>
      </c>
      <c r="B190" s="3" t="s">
        <v>33</v>
      </c>
      <c r="C190" s="3" t="s">
        <v>9</v>
      </c>
      <c r="D190" s="4">
        <v>1</v>
      </c>
      <c r="E190" s="11">
        <v>4.1500000000000004</v>
      </c>
      <c r="F190" s="9">
        <f t="shared" si="10"/>
        <v>4.1500000000000004</v>
      </c>
      <c r="G190" s="3" t="str">
        <f t="shared" si="11"/>
        <v/>
      </c>
      <c r="H190" s="3">
        <v>0</v>
      </c>
      <c r="I190" s="3">
        <v>0</v>
      </c>
      <c r="J190" s="3" t="str">
        <f t="shared" si="12"/>
        <v/>
      </c>
      <c r="K190" s="3" t="str">
        <f t="shared" si="13"/>
        <v/>
      </c>
      <c r="L190" s="9" t="str">
        <f t="shared" si="14"/>
        <v/>
      </c>
      <c r="N190" s="3"/>
      <c r="O190" s="15">
        <v>1</v>
      </c>
    </row>
    <row r="191" spans="1:15" x14ac:dyDescent="0.25">
      <c r="A191" t="s">
        <v>265</v>
      </c>
      <c r="B191" s="3" t="s">
        <v>33</v>
      </c>
      <c r="C191" s="3" t="s">
        <v>9</v>
      </c>
      <c r="D191" s="4"/>
      <c r="F191" s="9">
        <f t="shared" si="10"/>
        <v>0</v>
      </c>
      <c r="G191" s="3" t="str">
        <f t="shared" si="11"/>
        <v>BLOCK</v>
      </c>
      <c r="J191" s="3" t="str">
        <f t="shared" si="12"/>
        <v/>
      </c>
      <c r="K191" s="3" t="str">
        <f t="shared" si="13"/>
        <v/>
      </c>
      <c r="L191" s="9" t="str">
        <f t="shared" si="14"/>
        <v/>
      </c>
      <c r="N191" s="3"/>
      <c r="O191" s="15">
        <v>0</v>
      </c>
    </row>
    <row r="192" spans="1:15" x14ac:dyDescent="0.25">
      <c r="A192" t="s">
        <v>461</v>
      </c>
      <c r="B192" s="3" t="s">
        <v>33</v>
      </c>
      <c r="C192" s="3" t="s">
        <v>9</v>
      </c>
      <c r="D192" s="4">
        <v>1</v>
      </c>
      <c r="E192" s="11">
        <v>78.260000000000005</v>
      </c>
      <c r="F192" s="9">
        <f t="shared" si="10"/>
        <v>78.260000000000005</v>
      </c>
      <c r="G192" s="3" t="str">
        <f t="shared" si="11"/>
        <v/>
      </c>
      <c r="J192" s="3" t="str">
        <f t="shared" si="12"/>
        <v/>
      </c>
      <c r="K192" s="3" t="str">
        <f t="shared" si="13"/>
        <v/>
      </c>
      <c r="L192" s="9" t="str">
        <f t="shared" si="14"/>
        <v/>
      </c>
      <c r="M192" s="3">
        <v>1</v>
      </c>
      <c r="N192" s="3"/>
      <c r="O192" s="15">
        <v>0</v>
      </c>
    </row>
    <row r="193" spans="1:15" x14ac:dyDescent="0.25">
      <c r="A193" t="s">
        <v>266</v>
      </c>
      <c r="B193" s="3" t="s">
        <v>33</v>
      </c>
      <c r="C193" s="3" t="s">
        <v>9</v>
      </c>
      <c r="D193" s="4">
        <v>0</v>
      </c>
      <c r="E193" s="11">
        <v>8.6999999999999993</v>
      </c>
      <c r="F193" s="9">
        <f t="shared" si="10"/>
        <v>0</v>
      </c>
      <c r="G193" s="3" t="str">
        <f t="shared" si="11"/>
        <v/>
      </c>
      <c r="J193" s="3" t="str">
        <f t="shared" si="12"/>
        <v/>
      </c>
      <c r="K193" s="3" t="str">
        <f t="shared" si="13"/>
        <v/>
      </c>
      <c r="L193" s="9" t="str">
        <f t="shared" si="14"/>
        <v/>
      </c>
      <c r="M193" s="3">
        <v>1</v>
      </c>
      <c r="N193" s="3">
        <v>1</v>
      </c>
      <c r="O193" s="15">
        <v>0</v>
      </c>
    </row>
    <row r="194" spans="1:15" x14ac:dyDescent="0.25">
      <c r="A194" t="s">
        <v>267</v>
      </c>
      <c r="B194" s="3" t="s">
        <v>33</v>
      </c>
      <c r="C194" s="3" t="s">
        <v>9</v>
      </c>
      <c r="D194" s="4">
        <v>2</v>
      </c>
      <c r="E194" s="11">
        <v>3.48</v>
      </c>
      <c r="F194" s="9">
        <f t="shared" ref="F194:F257" si="15">SUM(D194*E194)</f>
        <v>6.96</v>
      </c>
      <c r="G194" s="3" t="str">
        <f t="shared" ref="G194:G257" si="16">IF(E194=0,"BLOCK","")</f>
        <v/>
      </c>
      <c r="J194" s="3" t="str">
        <f t="shared" ref="J194:J257" si="17">IF(H194=0,"",IF(D194&lt;=H194,"1",""))</f>
        <v/>
      </c>
      <c r="K194" s="3" t="str">
        <f t="shared" ref="K194:K257" si="18">IF(J194="","",I194-D194)</f>
        <v/>
      </c>
      <c r="L194" s="9" t="str">
        <f t="shared" ref="L194:L257" si="19">IF(J194="1",(I194-D194)*E194,"")</f>
        <v/>
      </c>
      <c r="M194" s="3">
        <v>1</v>
      </c>
      <c r="N194" s="3"/>
      <c r="O194" s="15">
        <v>0</v>
      </c>
    </row>
    <row r="195" spans="1:15" x14ac:dyDescent="0.25">
      <c r="A195" t="s">
        <v>268</v>
      </c>
      <c r="B195" s="3" t="s">
        <v>33</v>
      </c>
      <c r="C195" s="3" t="s">
        <v>9</v>
      </c>
      <c r="D195" s="4">
        <v>1</v>
      </c>
      <c r="E195" s="11">
        <v>36.520000000000003</v>
      </c>
      <c r="F195" s="9">
        <f t="shared" si="15"/>
        <v>36.520000000000003</v>
      </c>
      <c r="G195" s="3" t="str">
        <f t="shared" si="16"/>
        <v/>
      </c>
      <c r="J195" s="3" t="str">
        <f t="shared" si="17"/>
        <v/>
      </c>
      <c r="K195" s="3" t="str">
        <f t="shared" si="18"/>
        <v/>
      </c>
      <c r="L195" s="9" t="str">
        <f t="shared" si="19"/>
        <v/>
      </c>
      <c r="M195" s="3">
        <v>1</v>
      </c>
      <c r="N195" s="3"/>
      <c r="O195" s="15">
        <v>0</v>
      </c>
    </row>
    <row r="196" spans="1:15" x14ac:dyDescent="0.25">
      <c r="A196" t="s">
        <v>269</v>
      </c>
      <c r="B196" s="3" t="s">
        <v>33</v>
      </c>
      <c r="C196" s="3" t="s">
        <v>9</v>
      </c>
      <c r="D196" s="4">
        <v>1</v>
      </c>
      <c r="E196" s="11">
        <v>101.74</v>
      </c>
      <c r="F196" s="9">
        <f t="shared" si="15"/>
        <v>101.74</v>
      </c>
      <c r="G196" s="3" t="str">
        <f t="shared" si="16"/>
        <v/>
      </c>
      <c r="J196" s="3" t="str">
        <f t="shared" si="17"/>
        <v/>
      </c>
      <c r="K196" s="3" t="str">
        <f t="shared" si="18"/>
        <v/>
      </c>
      <c r="L196" s="9" t="str">
        <f t="shared" si="19"/>
        <v/>
      </c>
      <c r="M196" s="3">
        <v>1</v>
      </c>
      <c r="N196" s="3"/>
      <c r="O196" s="15">
        <v>0</v>
      </c>
    </row>
    <row r="197" spans="1:15" x14ac:dyDescent="0.25">
      <c r="A197" t="s">
        <v>270</v>
      </c>
      <c r="B197" s="3" t="s">
        <v>33</v>
      </c>
      <c r="C197" s="3" t="s">
        <v>9</v>
      </c>
      <c r="D197" s="4">
        <v>0</v>
      </c>
      <c r="E197" s="11">
        <v>85</v>
      </c>
      <c r="F197" s="9">
        <f t="shared" si="15"/>
        <v>0</v>
      </c>
      <c r="G197" s="3" t="str">
        <f t="shared" si="16"/>
        <v/>
      </c>
      <c r="J197" s="3" t="str">
        <f t="shared" si="17"/>
        <v/>
      </c>
      <c r="K197" s="3" t="str">
        <f t="shared" si="18"/>
        <v/>
      </c>
      <c r="L197" s="9" t="str">
        <f t="shared" si="19"/>
        <v/>
      </c>
      <c r="M197" s="3">
        <v>1</v>
      </c>
      <c r="N197" s="3">
        <v>1</v>
      </c>
      <c r="O197" s="15">
        <v>0</v>
      </c>
    </row>
    <row r="198" spans="1:15" x14ac:dyDescent="0.25">
      <c r="A198" t="s">
        <v>462</v>
      </c>
      <c r="B198" s="3" t="s">
        <v>33</v>
      </c>
      <c r="C198" s="3" t="s">
        <v>9</v>
      </c>
      <c r="D198" s="4">
        <v>1</v>
      </c>
      <c r="E198" s="11">
        <v>3.04</v>
      </c>
      <c r="F198" s="9">
        <f t="shared" si="15"/>
        <v>3.04</v>
      </c>
      <c r="G198" s="3" t="str">
        <f t="shared" si="16"/>
        <v/>
      </c>
      <c r="J198" s="3" t="str">
        <f t="shared" si="17"/>
        <v/>
      </c>
      <c r="K198" s="3" t="str">
        <f t="shared" si="18"/>
        <v/>
      </c>
      <c r="L198" s="9" t="str">
        <f t="shared" si="19"/>
        <v/>
      </c>
      <c r="M198" s="3">
        <v>1</v>
      </c>
      <c r="N198" s="3"/>
      <c r="O198" s="15">
        <v>0</v>
      </c>
    </row>
    <row r="199" spans="1:15" x14ac:dyDescent="0.25">
      <c r="A199" t="s">
        <v>271</v>
      </c>
      <c r="B199" s="3" t="s">
        <v>33</v>
      </c>
      <c r="C199" s="3" t="s">
        <v>9</v>
      </c>
      <c r="D199" s="4">
        <v>1</v>
      </c>
      <c r="E199" s="11">
        <v>40.53</v>
      </c>
      <c r="F199" s="9">
        <f t="shared" si="15"/>
        <v>40.53</v>
      </c>
      <c r="G199" s="3" t="str">
        <f t="shared" si="16"/>
        <v/>
      </c>
      <c r="J199" s="3" t="str">
        <f t="shared" si="17"/>
        <v/>
      </c>
      <c r="K199" s="3" t="str">
        <f t="shared" si="18"/>
        <v/>
      </c>
      <c r="L199" s="9" t="str">
        <f t="shared" si="19"/>
        <v/>
      </c>
      <c r="M199" s="3">
        <v>1</v>
      </c>
      <c r="N199" s="3"/>
      <c r="O199" s="15">
        <v>0</v>
      </c>
    </row>
    <row r="200" spans="1:15" x14ac:dyDescent="0.25">
      <c r="A200" t="s">
        <v>272</v>
      </c>
      <c r="B200" s="3" t="s">
        <v>33</v>
      </c>
      <c r="C200" s="3" t="s">
        <v>9</v>
      </c>
      <c r="D200" s="4">
        <v>0</v>
      </c>
      <c r="E200" s="11">
        <v>2.85</v>
      </c>
      <c r="F200" s="9">
        <f t="shared" si="15"/>
        <v>0</v>
      </c>
      <c r="G200" s="3" t="str">
        <f t="shared" si="16"/>
        <v/>
      </c>
      <c r="J200" s="3" t="str">
        <f t="shared" si="17"/>
        <v/>
      </c>
      <c r="K200" s="3" t="str">
        <f t="shared" si="18"/>
        <v/>
      </c>
      <c r="L200" s="9" t="str">
        <f t="shared" si="19"/>
        <v/>
      </c>
      <c r="M200" s="3">
        <v>1</v>
      </c>
      <c r="N200" s="3">
        <v>1</v>
      </c>
      <c r="O200" s="15">
        <v>0</v>
      </c>
    </row>
    <row r="201" spans="1:15" x14ac:dyDescent="0.25">
      <c r="A201" t="s">
        <v>273</v>
      </c>
      <c r="B201" s="3" t="s">
        <v>33</v>
      </c>
      <c r="C201" s="3" t="s">
        <v>9</v>
      </c>
      <c r="D201" s="4">
        <v>0</v>
      </c>
      <c r="E201" s="11">
        <v>0.75</v>
      </c>
      <c r="F201" s="9">
        <f t="shared" si="15"/>
        <v>0</v>
      </c>
      <c r="G201" s="3" t="str">
        <f t="shared" si="16"/>
        <v/>
      </c>
      <c r="J201" s="3" t="str">
        <f t="shared" si="17"/>
        <v/>
      </c>
      <c r="K201" s="3" t="str">
        <f t="shared" si="18"/>
        <v/>
      </c>
      <c r="L201" s="9" t="str">
        <f t="shared" si="19"/>
        <v/>
      </c>
      <c r="M201" s="3">
        <v>1</v>
      </c>
      <c r="N201" s="3">
        <v>1</v>
      </c>
      <c r="O201" s="15">
        <v>0</v>
      </c>
    </row>
    <row r="202" spans="1:15" x14ac:dyDescent="0.25">
      <c r="A202" t="s">
        <v>274</v>
      </c>
      <c r="B202" s="3" t="s">
        <v>33</v>
      </c>
      <c r="C202" s="3" t="s">
        <v>9</v>
      </c>
      <c r="D202" s="4">
        <v>0</v>
      </c>
      <c r="E202" s="11">
        <v>1.42</v>
      </c>
      <c r="F202" s="9">
        <f t="shared" si="15"/>
        <v>0</v>
      </c>
      <c r="G202" s="3" t="str">
        <f t="shared" si="16"/>
        <v/>
      </c>
      <c r="J202" s="3" t="str">
        <f t="shared" si="17"/>
        <v/>
      </c>
      <c r="K202" s="3" t="str">
        <f t="shared" si="18"/>
        <v/>
      </c>
      <c r="L202" s="9" t="str">
        <f t="shared" si="19"/>
        <v/>
      </c>
      <c r="M202" s="3">
        <v>1</v>
      </c>
      <c r="N202" s="3">
        <v>1</v>
      </c>
      <c r="O202" s="15">
        <v>0</v>
      </c>
    </row>
    <row r="203" spans="1:15" x14ac:dyDescent="0.25">
      <c r="A203" t="s">
        <v>275</v>
      </c>
      <c r="B203" s="3" t="s">
        <v>33</v>
      </c>
      <c r="C203" s="3" t="s">
        <v>9</v>
      </c>
      <c r="D203" s="4">
        <v>1</v>
      </c>
      <c r="E203" s="11">
        <v>0.99</v>
      </c>
      <c r="F203" s="9">
        <f t="shared" si="15"/>
        <v>0.99</v>
      </c>
      <c r="G203" s="3" t="str">
        <f t="shared" si="16"/>
        <v/>
      </c>
      <c r="J203" s="3" t="str">
        <f t="shared" si="17"/>
        <v/>
      </c>
      <c r="K203" s="3" t="str">
        <f t="shared" si="18"/>
        <v/>
      </c>
      <c r="L203" s="9" t="str">
        <f t="shared" si="19"/>
        <v/>
      </c>
      <c r="M203" s="3">
        <v>2</v>
      </c>
      <c r="N203" s="3">
        <v>1</v>
      </c>
      <c r="O203" s="15">
        <v>0</v>
      </c>
    </row>
    <row r="204" spans="1:15" x14ac:dyDescent="0.25">
      <c r="A204" t="s">
        <v>276</v>
      </c>
      <c r="B204" s="3" t="s">
        <v>33</v>
      </c>
      <c r="C204" s="3" t="s">
        <v>9</v>
      </c>
      <c r="D204" s="4">
        <v>2</v>
      </c>
      <c r="E204" s="11">
        <v>0.38000000000000006</v>
      </c>
      <c r="F204" s="9">
        <f t="shared" si="15"/>
        <v>0.76000000000000012</v>
      </c>
      <c r="G204" s="3" t="str">
        <f t="shared" si="16"/>
        <v/>
      </c>
      <c r="J204" s="3" t="str">
        <f t="shared" si="17"/>
        <v/>
      </c>
      <c r="K204" s="3" t="str">
        <f t="shared" si="18"/>
        <v/>
      </c>
      <c r="L204" s="9" t="str">
        <f t="shared" si="19"/>
        <v/>
      </c>
      <c r="M204" s="3">
        <v>2</v>
      </c>
      <c r="N204" s="3">
        <v>1</v>
      </c>
      <c r="O204" s="15">
        <v>0</v>
      </c>
    </row>
    <row r="205" spans="1:15" x14ac:dyDescent="0.25">
      <c r="A205" t="s">
        <v>277</v>
      </c>
      <c r="B205" s="3" t="s">
        <v>33</v>
      </c>
      <c r="C205" s="3" t="s">
        <v>9</v>
      </c>
      <c r="D205" s="4">
        <v>0</v>
      </c>
      <c r="E205" s="11">
        <v>0.47</v>
      </c>
      <c r="F205" s="9">
        <f t="shared" si="15"/>
        <v>0</v>
      </c>
      <c r="G205" s="3" t="str">
        <f t="shared" si="16"/>
        <v/>
      </c>
      <c r="J205" s="3" t="str">
        <f t="shared" si="17"/>
        <v/>
      </c>
      <c r="K205" s="3" t="str">
        <f t="shared" si="18"/>
        <v/>
      </c>
      <c r="L205" s="9" t="str">
        <f t="shared" si="19"/>
        <v/>
      </c>
      <c r="M205" s="3">
        <v>1</v>
      </c>
      <c r="N205" s="3">
        <v>1</v>
      </c>
      <c r="O205" s="15">
        <v>0</v>
      </c>
    </row>
    <row r="206" spans="1:15" x14ac:dyDescent="0.25">
      <c r="A206" t="s">
        <v>278</v>
      </c>
      <c r="B206" s="3" t="s">
        <v>33</v>
      </c>
      <c r="C206" s="3" t="s">
        <v>9</v>
      </c>
      <c r="D206" s="4">
        <v>0</v>
      </c>
      <c r="E206" s="11">
        <v>0.95</v>
      </c>
      <c r="F206" s="9">
        <f t="shared" si="15"/>
        <v>0</v>
      </c>
      <c r="G206" s="3" t="str">
        <f t="shared" si="16"/>
        <v/>
      </c>
      <c r="J206" s="3" t="str">
        <f t="shared" si="17"/>
        <v/>
      </c>
      <c r="K206" s="3" t="str">
        <f t="shared" si="18"/>
        <v/>
      </c>
      <c r="L206" s="9" t="str">
        <f t="shared" si="19"/>
        <v/>
      </c>
      <c r="M206" s="3">
        <v>1</v>
      </c>
      <c r="N206" s="3">
        <v>1</v>
      </c>
      <c r="O206" s="15">
        <v>0</v>
      </c>
    </row>
    <row r="207" spans="1:15" x14ac:dyDescent="0.25">
      <c r="A207" t="s">
        <v>279</v>
      </c>
      <c r="B207" s="3" t="s">
        <v>33</v>
      </c>
      <c r="C207" s="3" t="s">
        <v>9</v>
      </c>
      <c r="D207" s="4">
        <v>1</v>
      </c>
      <c r="E207" s="11">
        <v>0.84000000000000008</v>
      </c>
      <c r="F207" s="9">
        <f t="shared" si="15"/>
        <v>0.84000000000000008</v>
      </c>
      <c r="G207" s="3" t="str">
        <f t="shared" si="16"/>
        <v/>
      </c>
      <c r="J207" s="3" t="str">
        <f t="shared" si="17"/>
        <v/>
      </c>
      <c r="K207" s="3" t="str">
        <f t="shared" si="18"/>
        <v/>
      </c>
      <c r="L207" s="9" t="str">
        <f t="shared" si="19"/>
        <v/>
      </c>
      <c r="M207" s="3">
        <v>2</v>
      </c>
      <c r="N207" s="3">
        <v>1</v>
      </c>
      <c r="O207" s="15">
        <v>0</v>
      </c>
    </row>
    <row r="208" spans="1:15" x14ac:dyDescent="0.25">
      <c r="A208" s="2" t="s">
        <v>280</v>
      </c>
      <c r="B208" s="3" t="s">
        <v>33</v>
      </c>
      <c r="C208" s="3" t="s">
        <v>9</v>
      </c>
      <c r="D208" s="4">
        <v>4</v>
      </c>
      <c r="E208" s="11">
        <v>4.28</v>
      </c>
      <c r="F208" s="9">
        <f t="shared" si="15"/>
        <v>17.12</v>
      </c>
      <c r="G208" s="3" t="str">
        <f t="shared" si="16"/>
        <v/>
      </c>
      <c r="H208" s="3">
        <v>0</v>
      </c>
      <c r="I208" s="3">
        <v>0</v>
      </c>
      <c r="J208" s="3" t="str">
        <f t="shared" si="17"/>
        <v/>
      </c>
      <c r="K208" s="3" t="str">
        <f t="shared" si="18"/>
        <v/>
      </c>
      <c r="L208" s="9" t="str">
        <f t="shared" si="19"/>
        <v/>
      </c>
      <c r="N208" s="3"/>
      <c r="O208" s="15">
        <v>4</v>
      </c>
    </row>
    <row r="209" spans="1:15" x14ac:dyDescent="0.25">
      <c r="A209" t="s">
        <v>75</v>
      </c>
      <c r="B209" s="3" t="s">
        <v>33</v>
      </c>
      <c r="C209" s="3" t="s">
        <v>9</v>
      </c>
      <c r="D209" s="4">
        <v>9</v>
      </c>
      <c r="E209" s="11">
        <v>1.22</v>
      </c>
      <c r="F209" s="9">
        <f t="shared" si="15"/>
        <v>10.98</v>
      </c>
      <c r="G209" s="3" t="str">
        <f t="shared" si="16"/>
        <v/>
      </c>
      <c r="H209" s="3">
        <v>0</v>
      </c>
      <c r="I209" s="3">
        <v>0</v>
      </c>
      <c r="J209" s="3" t="str">
        <f t="shared" si="17"/>
        <v/>
      </c>
      <c r="K209" s="3" t="str">
        <f t="shared" si="18"/>
        <v/>
      </c>
      <c r="L209" s="9" t="str">
        <f t="shared" si="19"/>
        <v/>
      </c>
      <c r="M209" s="3">
        <v>1</v>
      </c>
      <c r="N209" s="3">
        <v>2</v>
      </c>
      <c r="O209" s="15">
        <v>1</v>
      </c>
    </row>
    <row r="210" spans="1:15" x14ac:dyDescent="0.25">
      <c r="A210" t="s">
        <v>463</v>
      </c>
      <c r="B210" s="3" t="s">
        <v>33</v>
      </c>
      <c r="C210" s="3" t="s">
        <v>9</v>
      </c>
      <c r="D210" s="4"/>
      <c r="F210" s="9">
        <f t="shared" si="15"/>
        <v>0</v>
      </c>
      <c r="G210" s="3" t="str">
        <f t="shared" si="16"/>
        <v>BLOCK</v>
      </c>
      <c r="J210" s="3" t="str">
        <f t="shared" si="17"/>
        <v/>
      </c>
      <c r="K210" s="3" t="str">
        <f t="shared" si="18"/>
        <v/>
      </c>
      <c r="L210" s="9" t="str">
        <f t="shared" si="19"/>
        <v/>
      </c>
      <c r="N210" s="3"/>
      <c r="O210" s="15">
        <v>0</v>
      </c>
    </row>
    <row r="211" spans="1:15" x14ac:dyDescent="0.25">
      <c r="A211" t="s">
        <v>281</v>
      </c>
      <c r="B211" s="3" t="s">
        <v>33</v>
      </c>
      <c r="C211" s="3" t="s">
        <v>9</v>
      </c>
      <c r="D211" s="4">
        <v>11</v>
      </c>
      <c r="E211" s="11">
        <v>25.3</v>
      </c>
      <c r="F211" s="9">
        <f t="shared" si="15"/>
        <v>278.3</v>
      </c>
      <c r="G211" s="3" t="str">
        <f t="shared" si="16"/>
        <v/>
      </c>
      <c r="H211" s="3">
        <v>0</v>
      </c>
      <c r="I211" s="3">
        <v>0</v>
      </c>
      <c r="J211" s="3" t="str">
        <f t="shared" si="17"/>
        <v/>
      </c>
      <c r="K211" s="3" t="str">
        <f t="shared" si="18"/>
        <v/>
      </c>
      <c r="L211" s="9" t="str">
        <f t="shared" si="19"/>
        <v/>
      </c>
      <c r="N211" s="3"/>
      <c r="O211" s="15">
        <v>11</v>
      </c>
    </row>
    <row r="212" spans="1:15" x14ac:dyDescent="0.25">
      <c r="A212" t="s">
        <v>282</v>
      </c>
      <c r="B212" s="3" t="s">
        <v>33</v>
      </c>
      <c r="C212" s="3" t="s">
        <v>9</v>
      </c>
      <c r="D212" s="4">
        <v>9</v>
      </c>
      <c r="E212" s="11">
        <v>0.31</v>
      </c>
      <c r="F212" s="9">
        <f t="shared" si="15"/>
        <v>2.79</v>
      </c>
      <c r="G212" s="3" t="str">
        <f t="shared" si="16"/>
        <v/>
      </c>
      <c r="J212" s="3" t="str">
        <f t="shared" si="17"/>
        <v/>
      </c>
      <c r="K212" s="3" t="str">
        <f t="shared" si="18"/>
        <v/>
      </c>
      <c r="L212" s="9" t="str">
        <f t="shared" si="19"/>
        <v/>
      </c>
      <c r="M212" s="3">
        <v>1</v>
      </c>
      <c r="N212" s="3">
        <v>1</v>
      </c>
      <c r="O212" s="15">
        <v>0</v>
      </c>
    </row>
    <row r="213" spans="1:15" x14ac:dyDescent="0.25">
      <c r="A213" t="s">
        <v>283</v>
      </c>
      <c r="B213" s="3" t="s">
        <v>33</v>
      </c>
      <c r="C213" s="3" t="s">
        <v>9</v>
      </c>
      <c r="D213" s="4">
        <v>-9</v>
      </c>
      <c r="E213" s="11">
        <v>0.46999999999999992</v>
      </c>
      <c r="F213" s="9">
        <f t="shared" si="15"/>
        <v>-4.2299999999999995</v>
      </c>
      <c r="G213" s="3" t="str">
        <f t="shared" si="16"/>
        <v/>
      </c>
      <c r="J213" s="3" t="str">
        <f t="shared" si="17"/>
        <v/>
      </c>
      <c r="K213" s="3" t="str">
        <f t="shared" si="18"/>
        <v/>
      </c>
      <c r="L213" s="9" t="str">
        <f t="shared" si="19"/>
        <v/>
      </c>
      <c r="M213" s="3">
        <v>1</v>
      </c>
      <c r="N213" s="3">
        <v>3</v>
      </c>
      <c r="O213" s="15">
        <v>0</v>
      </c>
    </row>
    <row r="214" spans="1:15" x14ac:dyDescent="0.25">
      <c r="A214" t="s">
        <v>284</v>
      </c>
      <c r="B214" s="3" t="s">
        <v>33</v>
      </c>
      <c r="C214" s="3" t="s">
        <v>9</v>
      </c>
      <c r="D214" s="4">
        <v>9</v>
      </c>
      <c r="E214" s="11">
        <v>0.99818181818181817</v>
      </c>
      <c r="F214" s="9">
        <f t="shared" si="15"/>
        <v>8.9836363636363643</v>
      </c>
      <c r="G214" s="3" t="str">
        <f t="shared" si="16"/>
        <v/>
      </c>
      <c r="J214" s="3" t="str">
        <f t="shared" si="17"/>
        <v/>
      </c>
      <c r="K214" s="3" t="str">
        <f t="shared" si="18"/>
        <v/>
      </c>
      <c r="L214" s="9" t="str">
        <f t="shared" si="19"/>
        <v/>
      </c>
      <c r="M214" s="3">
        <v>2</v>
      </c>
      <c r="N214" s="3">
        <v>2</v>
      </c>
      <c r="O214" s="15">
        <v>0</v>
      </c>
    </row>
    <row r="215" spans="1:15" x14ac:dyDescent="0.25">
      <c r="A215" t="s">
        <v>464</v>
      </c>
      <c r="B215" s="3" t="s">
        <v>33</v>
      </c>
      <c r="C215" s="3" t="s">
        <v>9</v>
      </c>
      <c r="D215" s="4">
        <v>2</v>
      </c>
      <c r="E215" s="11">
        <v>1.73</v>
      </c>
      <c r="F215" s="9">
        <f t="shared" si="15"/>
        <v>3.46</v>
      </c>
      <c r="G215" s="3" t="str">
        <f t="shared" si="16"/>
        <v/>
      </c>
      <c r="J215" s="3" t="str">
        <f t="shared" si="17"/>
        <v/>
      </c>
      <c r="K215" s="3" t="str">
        <f t="shared" si="18"/>
        <v/>
      </c>
      <c r="L215" s="9" t="str">
        <f t="shared" si="19"/>
        <v/>
      </c>
      <c r="M215" s="3">
        <v>1</v>
      </c>
      <c r="N215" s="3"/>
      <c r="O215" s="15">
        <v>0</v>
      </c>
    </row>
    <row r="216" spans="1:15" x14ac:dyDescent="0.25">
      <c r="A216" t="s">
        <v>465</v>
      </c>
      <c r="B216" s="3" t="s">
        <v>33</v>
      </c>
      <c r="C216" s="3" t="s">
        <v>9</v>
      </c>
      <c r="D216" s="4">
        <v>1</v>
      </c>
      <c r="E216" s="11">
        <v>4.9000000000000004</v>
      </c>
      <c r="F216" s="9">
        <f t="shared" si="15"/>
        <v>4.9000000000000004</v>
      </c>
      <c r="G216" s="3" t="str">
        <f t="shared" si="16"/>
        <v/>
      </c>
      <c r="J216" s="3" t="str">
        <f t="shared" si="17"/>
        <v/>
      </c>
      <c r="K216" s="3" t="str">
        <f t="shared" si="18"/>
        <v/>
      </c>
      <c r="L216" s="9" t="str">
        <f t="shared" si="19"/>
        <v/>
      </c>
      <c r="M216" s="3">
        <v>1</v>
      </c>
      <c r="N216" s="3"/>
      <c r="O216" s="15">
        <v>0</v>
      </c>
    </row>
    <row r="217" spans="1:15" x14ac:dyDescent="0.25">
      <c r="A217" t="s">
        <v>466</v>
      </c>
      <c r="B217" s="3" t="s">
        <v>33</v>
      </c>
      <c r="C217" s="3" t="s">
        <v>9</v>
      </c>
      <c r="D217" s="4">
        <v>1</v>
      </c>
      <c r="E217" s="11">
        <v>62.61</v>
      </c>
      <c r="F217" s="9">
        <f t="shared" si="15"/>
        <v>62.61</v>
      </c>
      <c r="G217" s="3" t="str">
        <f t="shared" si="16"/>
        <v/>
      </c>
      <c r="J217" s="3" t="str">
        <f t="shared" si="17"/>
        <v/>
      </c>
      <c r="K217" s="3" t="str">
        <f t="shared" si="18"/>
        <v/>
      </c>
      <c r="L217" s="9" t="str">
        <f t="shared" si="19"/>
        <v/>
      </c>
      <c r="M217" s="3">
        <v>1</v>
      </c>
      <c r="N217" s="3"/>
      <c r="O217" s="15">
        <v>0</v>
      </c>
    </row>
    <row r="218" spans="1:15" x14ac:dyDescent="0.25">
      <c r="A218" t="s">
        <v>285</v>
      </c>
      <c r="B218" s="3" t="s">
        <v>33</v>
      </c>
      <c r="C218" s="3" t="s">
        <v>9</v>
      </c>
      <c r="D218" s="4">
        <v>10</v>
      </c>
      <c r="E218" s="11">
        <v>9.57</v>
      </c>
      <c r="F218" s="9">
        <f t="shared" si="15"/>
        <v>95.7</v>
      </c>
      <c r="G218" s="3" t="str">
        <f t="shared" si="16"/>
        <v/>
      </c>
      <c r="J218" s="3" t="str">
        <f t="shared" si="17"/>
        <v/>
      </c>
      <c r="K218" s="3" t="str">
        <f t="shared" si="18"/>
        <v/>
      </c>
      <c r="L218" s="9" t="str">
        <f t="shared" si="19"/>
        <v/>
      </c>
      <c r="M218" s="3">
        <v>1</v>
      </c>
      <c r="N218" s="3"/>
      <c r="O218" s="15">
        <v>0</v>
      </c>
    </row>
    <row r="219" spans="1:15" x14ac:dyDescent="0.25">
      <c r="A219" t="s">
        <v>286</v>
      </c>
      <c r="B219" s="3" t="s">
        <v>33</v>
      </c>
      <c r="C219" s="3" t="s">
        <v>9</v>
      </c>
      <c r="D219" s="4">
        <v>3</v>
      </c>
      <c r="E219" s="11">
        <v>0.83</v>
      </c>
      <c r="F219" s="9">
        <f t="shared" si="15"/>
        <v>2.4899999999999998</v>
      </c>
      <c r="G219" s="3" t="str">
        <f t="shared" si="16"/>
        <v/>
      </c>
      <c r="H219" s="3">
        <v>0</v>
      </c>
      <c r="I219" s="3">
        <v>0</v>
      </c>
      <c r="J219" s="3" t="str">
        <f t="shared" si="17"/>
        <v/>
      </c>
      <c r="K219" s="3" t="str">
        <f t="shared" si="18"/>
        <v/>
      </c>
      <c r="L219" s="9" t="str">
        <f t="shared" si="19"/>
        <v/>
      </c>
      <c r="M219" s="3">
        <v>1</v>
      </c>
      <c r="N219" s="3"/>
      <c r="O219" s="15">
        <v>0</v>
      </c>
    </row>
    <row r="220" spans="1:15" x14ac:dyDescent="0.25">
      <c r="A220" t="s">
        <v>467</v>
      </c>
      <c r="B220" s="3" t="s">
        <v>33</v>
      </c>
      <c r="C220" s="3" t="s">
        <v>9</v>
      </c>
      <c r="D220" s="4">
        <v>1</v>
      </c>
      <c r="E220" s="11">
        <v>3.39</v>
      </c>
      <c r="F220" s="9">
        <f t="shared" si="15"/>
        <v>3.39</v>
      </c>
      <c r="G220" s="3" t="str">
        <f t="shared" si="16"/>
        <v/>
      </c>
      <c r="J220" s="3" t="str">
        <f t="shared" si="17"/>
        <v/>
      </c>
      <c r="K220" s="3" t="str">
        <f t="shared" si="18"/>
        <v/>
      </c>
      <c r="L220" s="9" t="str">
        <f t="shared" si="19"/>
        <v/>
      </c>
      <c r="M220" s="3">
        <v>2</v>
      </c>
      <c r="N220" s="3">
        <v>1</v>
      </c>
      <c r="O220" s="15">
        <v>0</v>
      </c>
    </row>
    <row r="221" spans="1:15" x14ac:dyDescent="0.25">
      <c r="A221" t="s">
        <v>468</v>
      </c>
      <c r="B221" s="3" t="s">
        <v>33</v>
      </c>
      <c r="C221" s="3" t="s">
        <v>9</v>
      </c>
      <c r="D221" s="4">
        <v>1</v>
      </c>
      <c r="E221" s="11">
        <v>3.08</v>
      </c>
      <c r="F221" s="9">
        <f t="shared" si="15"/>
        <v>3.08</v>
      </c>
      <c r="G221" s="3" t="str">
        <f t="shared" si="16"/>
        <v/>
      </c>
      <c r="J221" s="3" t="str">
        <f t="shared" si="17"/>
        <v/>
      </c>
      <c r="K221" s="3" t="str">
        <f t="shared" si="18"/>
        <v/>
      </c>
      <c r="L221" s="9" t="str">
        <f t="shared" si="19"/>
        <v/>
      </c>
      <c r="M221" s="3">
        <v>2</v>
      </c>
      <c r="N221" s="3">
        <v>1</v>
      </c>
      <c r="O221" s="15">
        <v>0</v>
      </c>
    </row>
    <row r="222" spans="1:15" x14ac:dyDescent="0.25">
      <c r="A222" t="s">
        <v>469</v>
      </c>
      <c r="B222" s="3" t="s">
        <v>33</v>
      </c>
      <c r="C222" s="3" t="s">
        <v>9</v>
      </c>
      <c r="D222" s="4">
        <v>0</v>
      </c>
      <c r="E222" s="11">
        <v>7.82</v>
      </c>
      <c r="F222" s="9">
        <f t="shared" si="15"/>
        <v>0</v>
      </c>
      <c r="G222" s="3" t="str">
        <f t="shared" si="16"/>
        <v/>
      </c>
      <c r="J222" s="3" t="str">
        <f t="shared" si="17"/>
        <v/>
      </c>
      <c r="K222" s="3" t="str">
        <f t="shared" si="18"/>
        <v/>
      </c>
      <c r="L222" s="9" t="str">
        <f t="shared" si="19"/>
        <v/>
      </c>
      <c r="M222" s="3">
        <v>1</v>
      </c>
      <c r="N222" s="3">
        <v>1</v>
      </c>
      <c r="O222" s="15">
        <v>0</v>
      </c>
    </row>
    <row r="223" spans="1:15" x14ac:dyDescent="0.25">
      <c r="A223" t="s">
        <v>470</v>
      </c>
      <c r="B223" s="3" t="s">
        <v>33</v>
      </c>
      <c r="C223" s="3" t="s">
        <v>9</v>
      </c>
      <c r="D223" s="4">
        <v>0</v>
      </c>
      <c r="E223" s="11">
        <v>5.22</v>
      </c>
      <c r="F223" s="9">
        <f t="shared" si="15"/>
        <v>0</v>
      </c>
      <c r="G223" s="3" t="str">
        <f t="shared" si="16"/>
        <v/>
      </c>
      <c r="J223" s="3" t="str">
        <f t="shared" si="17"/>
        <v/>
      </c>
      <c r="K223" s="3" t="str">
        <f t="shared" si="18"/>
        <v/>
      </c>
      <c r="L223" s="9" t="str">
        <f t="shared" si="19"/>
        <v/>
      </c>
      <c r="M223" s="3">
        <v>1</v>
      </c>
      <c r="N223" s="3">
        <v>1</v>
      </c>
      <c r="O223" s="15">
        <v>0</v>
      </c>
    </row>
    <row r="224" spans="1:15" x14ac:dyDescent="0.25">
      <c r="A224" t="s">
        <v>287</v>
      </c>
      <c r="B224" s="3" t="s">
        <v>33</v>
      </c>
      <c r="C224" s="3" t="s">
        <v>9</v>
      </c>
      <c r="D224" s="4">
        <v>4</v>
      </c>
      <c r="E224" s="11">
        <v>3.21</v>
      </c>
      <c r="F224" s="9">
        <f t="shared" si="15"/>
        <v>12.84</v>
      </c>
      <c r="G224" s="3" t="str">
        <f t="shared" si="16"/>
        <v/>
      </c>
      <c r="H224" s="3">
        <v>0</v>
      </c>
      <c r="I224" s="3">
        <v>0</v>
      </c>
      <c r="J224" s="3" t="str">
        <f t="shared" si="17"/>
        <v/>
      </c>
      <c r="K224" s="3" t="str">
        <f t="shared" si="18"/>
        <v/>
      </c>
      <c r="L224" s="9" t="str">
        <f t="shared" si="19"/>
        <v/>
      </c>
      <c r="N224" s="3"/>
      <c r="O224" s="15">
        <v>4</v>
      </c>
    </row>
    <row r="225" spans="1:15" x14ac:dyDescent="0.25">
      <c r="A225" t="s">
        <v>288</v>
      </c>
      <c r="B225" s="3" t="s">
        <v>8</v>
      </c>
      <c r="C225" s="3" t="s">
        <v>9</v>
      </c>
      <c r="D225" s="4">
        <v>4</v>
      </c>
      <c r="E225" s="11">
        <v>8.6999999999999993</v>
      </c>
      <c r="F225" s="9">
        <f t="shared" si="15"/>
        <v>34.799999999999997</v>
      </c>
      <c r="G225" s="3" t="str">
        <f t="shared" si="16"/>
        <v/>
      </c>
      <c r="J225" s="3" t="str">
        <f t="shared" si="17"/>
        <v/>
      </c>
      <c r="K225" s="3" t="str">
        <f t="shared" si="18"/>
        <v/>
      </c>
      <c r="L225" s="9" t="str">
        <f t="shared" si="19"/>
        <v/>
      </c>
      <c r="M225" s="3">
        <v>2</v>
      </c>
      <c r="N225" s="3">
        <v>2</v>
      </c>
      <c r="O225" s="15">
        <v>0</v>
      </c>
    </row>
    <row r="226" spans="1:15" x14ac:dyDescent="0.25">
      <c r="A226" t="s">
        <v>289</v>
      </c>
      <c r="B226" s="3" t="s">
        <v>33</v>
      </c>
      <c r="C226" s="3" t="s">
        <v>9</v>
      </c>
      <c r="D226" s="4">
        <v>6</v>
      </c>
      <c r="E226" s="11">
        <v>1.26</v>
      </c>
      <c r="F226" s="9">
        <f t="shared" si="15"/>
        <v>7.5600000000000005</v>
      </c>
      <c r="G226" s="3" t="str">
        <f t="shared" si="16"/>
        <v/>
      </c>
      <c r="J226" s="3" t="str">
        <f t="shared" si="17"/>
        <v/>
      </c>
      <c r="K226" s="3" t="str">
        <f t="shared" si="18"/>
        <v/>
      </c>
      <c r="L226" s="9" t="str">
        <f t="shared" si="19"/>
        <v/>
      </c>
      <c r="M226" s="3">
        <v>1</v>
      </c>
      <c r="N226" s="3"/>
      <c r="O226" s="15">
        <v>0</v>
      </c>
    </row>
    <row r="227" spans="1:15" x14ac:dyDescent="0.25">
      <c r="A227" t="s">
        <v>290</v>
      </c>
      <c r="B227" s="3" t="s">
        <v>33</v>
      </c>
      <c r="C227" s="3" t="s">
        <v>9</v>
      </c>
      <c r="D227" s="4">
        <v>4</v>
      </c>
      <c r="E227" s="11">
        <v>1.3</v>
      </c>
      <c r="F227" s="9">
        <f t="shared" si="15"/>
        <v>5.2</v>
      </c>
      <c r="G227" s="3" t="str">
        <f t="shared" si="16"/>
        <v/>
      </c>
      <c r="J227" s="3" t="str">
        <f t="shared" si="17"/>
        <v/>
      </c>
      <c r="K227" s="3" t="str">
        <f t="shared" si="18"/>
        <v/>
      </c>
      <c r="L227" s="9" t="str">
        <f t="shared" si="19"/>
        <v/>
      </c>
      <c r="M227" s="3">
        <v>1</v>
      </c>
      <c r="N227" s="3">
        <v>1</v>
      </c>
      <c r="O227" s="15">
        <v>0</v>
      </c>
    </row>
    <row r="228" spans="1:15" x14ac:dyDescent="0.25">
      <c r="A228" t="s">
        <v>291</v>
      </c>
      <c r="B228" s="3" t="s">
        <v>8</v>
      </c>
      <c r="C228" s="3" t="s">
        <v>9</v>
      </c>
      <c r="D228" s="4">
        <v>0.1</v>
      </c>
      <c r="E228" s="11">
        <v>20</v>
      </c>
      <c r="F228" s="9">
        <f t="shared" si="15"/>
        <v>2</v>
      </c>
      <c r="G228" s="3" t="str">
        <f t="shared" si="16"/>
        <v/>
      </c>
      <c r="H228" s="3">
        <v>0</v>
      </c>
      <c r="I228" s="3">
        <v>0</v>
      </c>
      <c r="J228" s="3" t="str">
        <f t="shared" si="17"/>
        <v/>
      </c>
      <c r="K228" s="3" t="str">
        <f t="shared" si="18"/>
        <v/>
      </c>
      <c r="L228" s="9" t="str">
        <f t="shared" si="19"/>
        <v/>
      </c>
      <c r="N228" s="3"/>
      <c r="O228" s="15">
        <v>0.1</v>
      </c>
    </row>
    <row r="229" spans="1:15" x14ac:dyDescent="0.25">
      <c r="A229" t="s">
        <v>471</v>
      </c>
      <c r="B229" s="3" t="s">
        <v>33</v>
      </c>
      <c r="C229" s="3" t="s">
        <v>9</v>
      </c>
      <c r="D229" s="4">
        <v>2</v>
      </c>
      <c r="E229" s="11">
        <v>7.83</v>
      </c>
      <c r="F229" s="9">
        <f t="shared" si="15"/>
        <v>15.66</v>
      </c>
      <c r="G229" s="3" t="str">
        <f t="shared" si="16"/>
        <v/>
      </c>
      <c r="J229" s="3" t="str">
        <f t="shared" si="17"/>
        <v/>
      </c>
      <c r="K229" s="3" t="str">
        <f t="shared" si="18"/>
        <v/>
      </c>
      <c r="L229" s="9" t="str">
        <f t="shared" si="19"/>
        <v/>
      </c>
      <c r="M229" s="3">
        <v>1</v>
      </c>
      <c r="N229" s="3"/>
      <c r="O229" s="15">
        <v>0</v>
      </c>
    </row>
    <row r="230" spans="1:15" x14ac:dyDescent="0.25">
      <c r="A230" t="s">
        <v>472</v>
      </c>
      <c r="B230" s="3" t="s">
        <v>33</v>
      </c>
      <c r="C230" s="3" t="s">
        <v>9</v>
      </c>
      <c r="D230" s="4">
        <v>3</v>
      </c>
      <c r="E230" s="11">
        <v>6.96</v>
      </c>
      <c r="F230" s="9">
        <f t="shared" si="15"/>
        <v>20.88</v>
      </c>
      <c r="G230" s="3" t="str">
        <f t="shared" si="16"/>
        <v/>
      </c>
      <c r="J230" s="3" t="str">
        <f t="shared" si="17"/>
        <v/>
      </c>
      <c r="K230" s="3" t="str">
        <f t="shared" si="18"/>
        <v/>
      </c>
      <c r="L230" s="9" t="str">
        <f t="shared" si="19"/>
        <v/>
      </c>
      <c r="M230" s="3">
        <v>1</v>
      </c>
      <c r="N230" s="3"/>
      <c r="O230" s="15">
        <v>0</v>
      </c>
    </row>
    <row r="231" spans="1:15" x14ac:dyDescent="0.25">
      <c r="A231" t="s">
        <v>473</v>
      </c>
      <c r="B231" s="3" t="s">
        <v>405</v>
      </c>
      <c r="C231" s="3" t="s">
        <v>9</v>
      </c>
      <c r="D231" s="4">
        <v>1</v>
      </c>
      <c r="E231" s="11">
        <v>3.48</v>
      </c>
      <c r="F231" s="9">
        <f t="shared" si="15"/>
        <v>3.48</v>
      </c>
      <c r="G231" s="3" t="str">
        <f t="shared" si="16"/>
        <v/>
      </c>
      <c r="J231" s="3" t="str">
        <f t="shared" si="17"/>
        <v/>
      </c>
      <c r="K231" s="3" t="str">
        <f t="shared" si="18"/>
        <v/>
      </c>
      <c r="L231" s="9" t="str">
        <f t="shared" si="19"/>
        <v/>
      </c>
      <c r="M231" s="3">
        <v>1</v>
      </c>
      <c r="N231" s="3"/>
      <c r="O231" s="15">
        <v>0</v>
      </c>
    </row>
    <row r="232" spans="1:15" x14ac:dyDescent="0.25">
      <c r="A232" t="s">
        <v>474</v>
      </c>
      <c r="B232" s="3" t="s">
        <v>33</v>
      </c>
      <c r="C232" s="3" t="s">
        <v>9</v>
      </c>
      <c r="D232" s="4">
        <v>1</v>
      </c>
      <c r="E232" s="11">
        <v>4.78</v>
      </c>
      <c r="F232" s="9">
        <f t="shared" si="15"/>
        <v>4.78</v>
      </c>
      <c r="G232" s="3" t="str">
        <f t="shared" si="16"/>
        <v/>
      </c>
      <c r="J232" s="3" t="str">
        <f t="shared" si="17"/>
        <v/>
      </c>
      <c r="K232" s="3" t="str">
        <f t="shared" si="18"/>
        <v/>
      </c>
      <c r="L232" s="9" t="str">
        <f t="shared" si="19"/>
        <v/>
      </c>
      <c r="M232" s="3">
        <v>1</v>
      </c>
      <c r="N232" s="3"/>
      <c r="O232" s="15">
        <v>0</v>
      </c>
    </row>
    <row r="233" spans="1:15" x14ac:dyDescent="0.25">
      <c r="A233" t="s">
        <v>475</v>
      </c>
      <c r="B233" s="3" t="s">
        <v>33</v>
      </c>
      <c r="C233" s="3" t="s">
        <v>9</v>
      </c>
      <c r="D233" s="4">
        <v>2</v>
      </c>
      <c r="E233" s="11">
        <v>8.6999999999999993</v>
      </c>
      <c r="F233" s="9">
        <f t="shared" si="15"/>
        <v>17.399999999999999</v>
      </c>
      <c r="G233" s="3" t="str">
        <f t="shared" si="16"/>
        <v/>
      </c>
      <c r="J233" s="3" t="str">
        <f t="shared" si="17"/>
        <v/>
      </c>
      <c r="K233" s="3" t="str">
        <f t="shared" si="18"/>
        <v/>
      </c>
      <c r="L233" s="9" t="str">
        <f t="shared" si="19"/>
        <v/>
      </c>
      <c r="M233" s="3">
        <v>1</v>
      </c>
      <c r="N233" s="3"/>
      <c r="O233" s="15">
        <v>0</v>
      </c>
    </row>
    <row r="234" spans="1:15" x14ac:dyDescent="0.25">
      <c r="A234" t="s">
        <v>476</v>
      </c>
      <c r="B234" s="3" t="s">
        <v>33</v>
      </c>
      <c r="C234" s="3" t="s">
        <v>9</v>
      </c>
      <c r="D234" s="4">
        <v>2</v>
      </c>
      <c r="E234" s="11">
        <v>1.3</v>
      </c>
      <c r="F234" s="9">
        <f t="shared" si="15"/>
        <v>2.6</v>
      </c>
      <c r="G234" s="3" t="str">
        <f t="shared" si="16"/>
        <v/>
      </c>
      <c r="J234" s="3" t="str">
        <f t="shared" si="17"/>
        <v/>
      </c>
      <c r="K234" s="3" t="str">
        <f t="shared" si="18"/>
        <v/>
      </c>
      <c r="L234" s="9" t="str">
        <f t="shared" si="19"/>
        <v/>
      </c>
      <c r="M234" s="3">
        <v>1</v>
      </c>
      <c r="N234" s="3"/>
      <c r="O234" s="15">
        <v>0</v>
      </c>
    </row>
    <row r="235" spans="1:15" x14ac:dyDescent="0.25">
      <c r="A235" t="s">
        <v>477</v>
      </c>
      <c r="B235" s="3" t="s">
        <v>33</v>
      </c>
      <c r="C235" s="3" t="s">
        <v>9</v>
      </c>
      <c r="D235" s="4">
        <v>5</v>
      </c>
      <c r="E235" s="11">
        <v>0.86999999999999988</v>
      </c>
      <c r="F235" s="9">
        <f t="shared" si="15"/>
        <v>4.3499999999999996</v>
      </c>
      <c r="G235" s="3" t="str">
        <f t="shared" si="16"/>
        <v/>
      </c>
      <c r="J235" s="3" t="str">
        <f t="shared" si="17"/>
        <v/>
      </c>
      <c r="K235" s="3" t="str">
        <f t="shared" si="18"/>
        <v/>
      </c>
      <c r="L235" s="9" t="str">
        <f t="shared" si="19"/>
        <v/>
      </c>
      <c r="M235" s="3">
        <v>1</v>
      </c>
      <c r="N235" s="3"/>
      <c r="O235" s="15">
        <v>0</v>
      </c>
    </row>
    <row r="236" spans="1:15" x14ac:dyDescent="0.25">
      <c r="A236" t="s">
        <v>478</v>
      </c>
      <c r="B236" s="3" t="s">
        <v>33</v>
      </c>
      <c r="C236" s="3" t="s">
        <v>9</v>
      </c>
      <c r="D236" s="4">
        <v>1</v>
      </c>
      <c r="E236" s="11">
        <v>5.22</v>
      </c>
      <c r="F236" s="9">
        <f t="shared" si="15"/>
        <v>5.22</v>
      </c>
      <c r="G236" s="3" t="str">
        <f t="shared" si="16"/>
        <v/>
      </c>
      <c r="J236" s="3" t="str">
        <f t="shared" si="17"/>
        <v/>
      </c>
      <c r="K236" s="3" t="str">
        <f t="shared" si="18"/>
        <v/>
      </c>
      <c r="L236" s="9" t="str">
        <f t="shared" si="19"/>
        <v/>
      </c>
      <c r="M236" s="3">
        <v>1</v>
      </c>
      <c r="N236" s="3"/>
      <c r="O236" s="15">
        <v>0</v>
      </c>
    </row>
    <row r="237" spans="1:15" x14ac:dyDescent="0.25">
      <c r="A237" t="s">
        <v>479</v>
      </c>
      <c r="B237" s="3" t="s">
        <v>33</v>
      </c>
      <c r="C237" s="3" t="s">
        <v>9</v>
      </c>
      <c r="D237" s="4">
        <v>1</v>
      </c>
      <c r="E237" s="11">
        <v>2.61</v>
      </c>
      <c r="F237" s="9">
        <f t="shared" si="15"/>
        <v>2.61</v>
      </c>
      <c r="G237" s="3" t="str">
        <f t="shared" si="16"/>
        <v/>
      </c>
      <c r="J237" s="3" t="str">
        <f t="shared" si="17"/>
        <v/>
      </c>
      <c r="K237" s="3" t="str">
        <f t="shared" si="18"/>
        <v/>
      </c>
      <c r="L237" s="9" t="str">
        <f t="shared" si="19"/>
        <v/>
      </c>
      <c r="M237" s="3">
        <v>1</v>
      </c>
      <c r="N237" s="3"/>
      <c r="O237" s="15">
        <v>0</v>
      </c>
    </row>
    <row r="238" spans="1:15" x14ac:dyDescent="0.25">
      <c r="A238" t="s">
        <v>480</v>
      </c>
      <c r="B238" s="3" t="s">
        <v>33</v>
      </c>
      <c r="C238" s="3" t="s">
        <v>9</v>
      </c>
      <c r="D238" s="4">
        <v>10</v>
      </c>
      <c r="E238" s="11">
        <v>0.43</v>
      </c>
      <c r="F238" s="9">
        <f t="shared" si="15"/>
        <v>4.3</v>
      </c>
      <c r="G238" s="3" t="str">
        <f t="shared" si="16"/>
        <v/>
      </c>
      <c r="J238" s="3" t="str">
        <f t="shared" si="17"/>
        <v/>
      </c>
      <c r="K238" s="3" t="str">
        <f t="shared" si="18"/>
        <v/>
      </c>
      <c r="L238" s="9" t="str">
        <f t="shared" si="19"/>
        <v/>
      </c>
      <c r="M238" s="3">
        <v>1</v>
      </c>
      <c r="N238" s="3"/>
      <c r="O238" s="15">
        <v>0</v>
      </c>
    </row>
    <row r="239" spans="1:15" x14ac:dyDescent="0.25">
      <c r="A239" t="s">
        <v>481</v>
      </c>
      <c r="B239" s="3" t="s">
        <v>33</v>
      </c>
      <c r="C239" s="3" t="s">
        <v>9</v>
      </c>
      <c r="D239" s="4">
        <v>10</v>
      </c>
      <c r="E239" s="11">
        <v>0.43</v>
      </c>
      <c r="F239" s="9">
        <f t="shared" si="15"/>
        <v>4.3</v>
      </c>
      <c r="G239" s="3" t="str">
        <f t="shared" si="16"/>
        <v/>
      </c>
      <c r="J239" s="3" t="str">
        <f t="shared" si="17"/>
        <v/>
      </c>
      <c r="K239" s="3" t="str">
        <f t="shared" si="18"/>
        <v/>
      </c>
      <c r="L239" s="9" t="str">
        <f t="shared" si="19"/>
        <v/>
      </c>
      <c r="M239" s="3">
        <v>1</v>
      </c>
      <c r="N239" s="3"/>
      <c r="O239" s="15">
        <v>0</v>
      </c>
    </row>
    <row r="240" spans="1:15" x14ac:dyDescent="0.25">
      <c r="A240" t="s">
        <v>76</v>
      </c>
      <c r="B240" s="3" t="s">
        <v>60</v>
      </c>
      <c r="C240" s="3" t="s">
        <v>9</v>
      </c>
      <c r="D240" s="4">
        <v>13</v>
      </c>
      <c r="E240" s="11">
        <v>1.65</v>
      </c>
      <c r="F240" s="9">
        <f t="shared" si="15"/>
        <v>21.45</v>
      </c>
      <c r="G240" s="3" t="str">
        <f t="shared" si="16"/>
        <v/>
      </c>
      <c r="H240" s="3">
        <v>0</v>
      </c>
      <c r="I240" s="3">
        <v>0</v>
      </c>
      <c r="J240" s="3" t="str">
        <f t="shared" si="17"/>
        <v/>
      </c>
      <c r="K240" s="3" t="str">
        <f t="shared" si="18"/>
        <v/>
      </c>
      <c r="L240" s="9" t="str">
        <f t="shared" si="19"/>
        <v/>
      </c>
      <c r="N240" s="3">
        <v>1</v>
      </c>
      <c r="O240" s="15">
        <v>14</v>
      </c>
    </row>
    <row r="241" spans="1:15" x14ac:dyDescent="0.25">
      <c r="A241" t="s">
        <v>292</v>
      </c>
      <c r="B241" s="3" t="s">
        <v>60</v>
      </c>
      <c r="C241" s="3" t="s">
        <v>9</v>
      </c>
      <c r="D241" s="4">
        <v>0</v>
      </c>
      <c r="E241" s="11">
        <v>4.3499999999999996</v>
      </c>
      <c r="F241" s="9">
        <f t="shared" si="15"/>
        <v>0</v>
      </c>
      <c r="G241" s="3" t="str">
        <f t="shared" si="16"/>
        <v/>
      </c>
      <c r="J241" s="3" t="str">
        <f t="shared" si="17"/>
        <v/>
      </c>
      <c r="K241" s="3" t="str">
        <f t="shared" si="18"/>
        <v/>
      </c>
      <c r="L241" s="9" t="str">
        <f t="shared" si="19"/>
        <v/>
      </c>
      <c r="M241" s="3">
        <v>1</v>
      </c>
      <c r="N241" s="3">
        <v>1</v>
      </c>
      <c r="O241" s="15">
        <v>0</v>
      </c>
    </row>
    <row r="242" spans="1:15" x14ac:dyDescent="0.25">
      <c r="A242" t="s">
        <v>482</v>
      </c>
      <c r="B242" s="3" t="s">
        <v>60</v>
      </c>
      <c r="C242" s="3" t="s">
        <v>9</v>
      </c>
      <c r="D242" s="4">
        <v>5</v>
      </c>
      <c r="E242" s="11">
        <v>1.7399999999999998</v>
      </c>
      <c r="F242" s="9">
        <f t="shared" si="15"/>
        <v>8.6999999999999993</v>
      </c>
      <c r="G242" s="3" t="str">
        <f t="shared" si="16"/>
        <v/>
      </c>
      <c r="J242" s="3" t="str">
        <f t="shared" si="17"/>
        <v/>
      </c>
      <c r="K242" s="3" t="str">
        <f t="shared" si="18"/>
        <v/>
      </c>
      <c r="L242" s="9" t="str">
        <f t="shared" si="19"/>
        <v/>
      </c>
      <c r="M242" s="3">
        <v>1</v>
      </c>
      <c r="N242" s="3"/>
      <c r="O242" s="15">
        <v>0</v>
      </c>
    </row>
    <row r="243" spans="1:15" x14ac:dyDescent="0.25">
      <c r="A243" t="s">
        <v>483</v>
      </c>
      <c r="B243" s="3" t="s">
        <v>60</v>
      </c>
      <c r="C243" s="3" t="s">
        <v>9</v>
      </c>
      <c r="D243" s="4">
        <v>5</v>
      </c>
      <c r="E243" s="11">
        <v>1.7399999999999998</v>
      </c>
      <c r="F243" s="9">
        <f t="shared" si="15"/>
        <v>8.6999999999999993</v>
      </c>
      <c r="G243" s="3" t="str">
        <f t="shared" si="16"/>
        <v/>
      </c>
      <c r="J243" s="3" t="str">
        <f t="shared" si="17"/>
        <v/>
      </c>
      <c r="K243" s="3" t="str">
        <f t="shared" si="18"/>
        <v/>
      </c>
      <c r="L243" s="9" t="str">
        <f t="shared" si="19"/>
        <v/>
      </c>
      <c r="M243" s="3">
        <v>1</v>
      </c>
      <c r="N243" s="3"/>
      <c r="O243" s="15">
        <v>0</v>
      </c>
    </row>
    <row r="244" spans="1:15" x14ac:dyDescent="0.25">
      <c r="A244" t="s">
        <v>484</v>
      </c>
      <c r="B244" s="3" t="s">
        <v>60</v>
      </c>
      <c r="C244" s="3" t="s">
        <v>9</v>
      </c>
      <c r="D244" s="4">
        <v>3</v>
      </c>
      <c r="E244" s="11">
        <v>1.7399999999999998</v>
      </c>
      <c r="F244" s="9">
        <f t="shared" si="15"/>
        <v>5.2199999999999989</v>
      </c>
      <c r="G244" s="3" t="str">
        <f t="shared" si="16"/>
        <v/>
      </c>
      <c r="J244" s="3" t="str">
        <f t="shared" si="17"/>
        <v/>
      </c>
      <c r="K244" s="3" t="str">
        <f t="shared" si="18"/>
        <v/>
      </c>
      <c r="L244" s="9" t="str">
        <f t="shared" si="19"/>
        <v/>
      </c>
      <c r="M244" s="3">
        <v>1</v>
      </c>
      <c r="N244" s="3">
        <v>1</v>
      </c>
      <c r="O244" s="15">
        <v>0</v>
      </c>
    </row>
    <row r="245" spans="1:15" x14ac:dyDescent="0.25">
      <c r="A245" t="s">
        <v>293</v>
      </c>
      <c r="B245" s="3" t="s">
        <v>60</v>
      </c>
      <c r="C245" s="3" t="s">
        <v>9</v>
      </c>
      <c r="D245" s="4">
        <v>5</v>
      </c>
      <c r="E245" s="11">
        <v>0.86999999999999988</v>
      </c>
      <c r="F245" s="9">
        <f t="shared" si="15"/>
        <v>4.3499999999999996</v>
      </c>
      <c r="G245" s="3" t="str">
        <f t="shared" si="16"/>
        <v/>
      </c>
      <c r="J245" s="3" t="str">
        <f t="shared" si="17"/>
        <v/>
      </c>
      <c r="K245" s="3" t="str">
        <f t="shared" si="18"/>
        <v/>
      </c>
      <c r="L245" s="9" t="str">
        <f t="shared" si="19"/>
        <v/>
      </c>
      <c r="M245" s="3">
        <v>1</v>
      </c>
      <c r="N245" s="3"/>
      <c r="O245" s="15">
        <v>0</v>
      </c>
    </row>
    <row r="246" spans="1:15" x14ac:dyDescent="0.25">
      <c r="A246" t="s">
        <v>294</v>
      </c>
      <c r="B246" s="3" t="s">
        <v>33</v>
      </c>
      <c r="C246" s="3" t="s">
        <v>9</v>
      </c>
      <c r="D246" s="4">
        <v>1</v>
      </c>
      <c r="E246" s="11">
        <v>3.24</v>
      </c>
      <c r="F246" s="9">
        <f t="shared" si="15"/>
        <v>3.24</v>
      </c>
      <c r="G246" s="3" t="str">
        <f t="shared" si="16"/>
        <v/>
      </c>
      <c r="J246" s="3" t="str">
        <f t="shared" si="17"/>
        <v/>
      </c>
      <c r="K246" s="3" t="str">
        <f t="shared" si="18"/>
        <v/>
      </c>
      <c r="L246" s="9" t="str">
        <f t="shared" si="19"/>
        <v/>
      </c>
      <c r="M246" s="3">
        <v>1</v>
      </c>
      <c r="N246" s="3"/>
      <c r="O246" s="15">
        <v>0</v>
      </c>
    </row>
    <row r="247" spans="1:15" x14ac:dyDescent="0.25">
      <c r="A247" t="s">
        <v>295</v>
      </c>
      <c r="B247" s="3" t="s">
        <v>33</v>
      </c>
      <c r="C247" s="3" t="s">
        <v>9</v>
      </c>
      <c r="D247" s="4">
        <v>0</v>
      </c>
      <c r="E247" s="11">
        <v>5.27</v>
      </c>
      <c r="F247" s="9">
        <f t="shared" si="15"/>
        <v>0</v>
      </c>
      <c r="G247" s="3" t="str">
        <f t="shared" si="16"/>
        <v/>
      </c>
      <c r="J247" s="3" t="str">
        <f t="shared" si="17"/>
        <v/>
      </c>
      <c r="K247" s="3" t="str">
        <f t="shared" si="18"/>
        <v/>
      </c>
      <c r="L247" s="9" t="str">
        <f t="shared" si="19"/>
        <v/>
      </c>
      <c r="M247" s="3">
        <v>1</v>
      </c>
      <c r="N247" s="3">
        <v>1</v>
      </c>
      <c r="O247" s="15">
        <v>0</v>
      </c>
    </row>
    <row r="248" spans="1:15" x14ac:dyDescent="0.25">
      <c r="A248" t="s">
        <v>296</v>
      </c>
      <c r="B248" s="3" t="s">
        <v>33</v>
      </c>
      <c r="C248" s="3" t="s">
        <v>9</v>
      </c>
      <c r="D248" s="4">
        <v>0</v>
      </c>
      <c r="E248" s="11">
        <v>8.14</v>
      </c>
      <c r="F248" s="9">
        <f t="shared" si="15"/>
        <v>0</v>
      </c>
      <c r="G248" s="3" t="str">
        <f t="shared" si="16"/>
        <v/>
      </c>
      <c r="J248" s="3" t="str">
        <f t="shared" si="17"/>
        <v/>
      </c>
      <c r="K248" s="3" t="str">
        <f t="shared" si="18"/>
        <v/>
      </c>
      <c r="L248" s="9" t="str">
        <f t="shared" si="19"/>
        <v/>
      </c>
      <c r="M248" s="3">
        <v>1</v>
      </c>
      <c r="N248" s="3">
        <v>1</v>
      </c>
      <c r="O248" s="15">
        <v>0</v>
      </c>
    </row>
    <row r="249" spans="1:15" x14ac:dyDescent="0.25">
      <c r="A249" t="s">
        <v>297</v>
      </c>
      <c r="B249" s="3" t="s">
        <v>33</v>
      </c>
      <c r="C249" s="3" t="s">
        <v>9</v>
      </c>
      <c r="D249" s="4">
        <v>2</v>
      </c>
      <c r="E249" s="11">
        <v>2.61</v>
      </c>
      <c r="F249" s="9">
        <f t="shared" si="15"/>
        <v>5.22</v>
      </c>
      <c r="G249" s="3" t="str">
        <f t="shared" si="16"/>
        <v/>
      </c>
      <c r="J249" s="3" t="str">
        <f t="shared" si="17"/>
        <v/>
      </c>
      <c r="K249" s="3" t="str">
        <f t="shared" si="18"/>
        <v/>
      </c>
      <c r="L249" s="9" t="str">
        <f t="shared" si="19"/>
        <v/>
      </c>
      <c r="M249" s="3">
        <v>1</v>
      </c>
      <c r="N249" s="3"/>
      <c r="O249" s="15">
        <v>0</v>
      </c>
    </row>
    <row r="250" spans="1:15" x14ac:dyDescent="0.25">
      <c r="A250" t="s">
        <v>77</v>
      </c>
      <c r="B250" s="3" t="s">
        <v>60</v>
      </c>
      <c r="C250" s="3" t="s">
        <v>9</v>
      </c>
      <c r="D250" s="4">
        <v>0.5</v>
      </c>
      <c r="E250" s="11">
        <v>3.48</v>
      </c>
      <c r="F250" s="9">
        <f t="shared" si="15"/>
        <v>1.74</v>
      </c>
      <c r="G250" s="3" t="str">
        <f t="shared" si="16"/>
        <v/>
      </c>
      <c r="H250" s="3">
        <v>0</v>
      </c>
      <c r="I250" s="3">
        <v>0</v>
      </c>
      <c r="J250" s="3" t="str">
        <f t="shared" si="17"/>
        <v/>
      </c>
      <c r="K250" s="3" t="str">
        <f t="shared" si="18"/>
        <v/>
      </c>
      <c r="L250" s="9" t="str">
        <f t="shared" si="19"/>
        <v/>
      </c>
      <c r="N250" s="3"/>
      <c r="O250" s="15">
        <v>0.5</v>
      </c>
    </row>
    <row r="251" spans="1:15" x14ac:dyDescent="0.25">
      <c r="A251" t="s">
        <v>298</v>
      </c>
      <c r="B251" s="3" t="s">
        <v>33</v>
      </c>
      <c r="C251" s="3" t="s">
        <v>9</v>
      </c>
      <c r="D251" s="4">
        <v>2</v>
      </c>
      <c r="E251" s="11">
        <v>17.91</v>
      </c>
      <c r="F251" s="9">
        <f t="shared" si="15"/>
        <v>35.82</v>
      </c>
      <c r="G251" s="3" t="str">
        <f t="shared" si="16"/>
        <v/>
      </c>
      <c r="J251" s="3" t="str">
        <f t="shared" si="17"/>
        <v/>
      </c>
      <c r="K251" s="3" t="str">
        <f t="shared" si="18"/>
        <v/>
      </c>
      <c r="L251" s="9" t="str">
        <f t="shared" si="19"/>
        <v/>
      </c>
      <c r="M251" s="3">
        <v>1</v>
      </c>
      <c r="N251" s="3">
        <v>1</v>
      </c>
      <c r="O251" s="15">
        <v>0</v>
      </c>
    </row>
    <row r="252" spans="1:15" x14ac:dyDescent="0.25">
      <c r="A252" t="s">
        <v>299</v>
      </c>
      <c r="B252" s="3" t="s">
        <v>33</v>
      </c>
      <c r="C252" s="3" t="s">
        <v>9</v>
      </c>
      <c r="D252" s="4">
        <v>1</v>
      </c>
      <c r="E252" s="11">
        <v>4.7</v>
      </c>
      <c r="F252" s="9">
        <f t="shared" si="15"/>
        <v>4.7</v>
      </c>
      <c r="G252" s="3" t="str">
        <f t="shared" si="16"/>
        <v/>
      </c>
      <c r="J252" s="3" t="str">
        <f t="shared" si="17"/>
        <v/>
      </c>
      <c r="K252" s="3" t="str">
        <f t="shared" si="18"/>
        <v/>
      </c>
      <c r="L252" s="9" t="str">
        <f t="shared" si="19"/>
        <v/>
      </c>
      <c r="M252" s="3">
        <v>1</v>
      </c>
      <c r="N252" s="3">
        <v>1</v>
      </c>
      <c r="O252" s="15">
        <v>0</v>
      </c>
    </row>
    <row r="253" spans="1:15" x14ac:dyDescent="0.25">
      <c r="A253" t="s">
        <v>300</v>
      </c>
      <c r="B253" s="3" t="s">
        <v>33</v>
      </c>
      <c r="C253" s="3" t="s">
        <v>9</v>
      </c>
      <c r="D253" s="4">
        <v>-1</v>
      </c>
      <c r="E253" s="11">
        <v>0.39</v>
      </c>
      <c r="F253" s="9">
        <f t="shared" si="15"/>
        <v>-0.39</v>
      </c>
      <c r="G253" s="3" t="str">
        <f t="shared" si="16"/>
        <v/>
      </c>
      <c r="H253" s="3">
        <v>0</v>
      </c>
      <c r="I253" s="3">
        <v>0</v>
      </c>
      <c r="J253" s="3" t="str">
        <f t="shared" si="17"/>
        <v/>
      </c>
      <c r="K253" s="3" t="str">
        <f t="shared" si="18"/>
        <v/>
      </c>
      <c r="L253" s="9" t="str">
        <f t="shared" si="19"/>
        <v/>
      </c>
      <c r="N253" s="3">
        <v>4</v>
      </c>
      <c r="O253" s="15">
        <v>6</v>
      </c>
    </row>
    <row r="254" spans="1:15" x14ac:dyDescent="0.25">
      <c r="A254" t="s">
        <v>485</v>
      </c>
      <c r="B254" s="3" t="s">
        <v>33</v>
      </c>
      <c r="C254" s="3" t="s">
        <v>9</v>
      </c>
      <c r="D254" s="4">
        <v>0</v>
      </c>
      <c r="E254" s="11">
        <v>14.699999999999998</v>
      </c>
      <c r="F254" s="9">
        <f t="shared" si="15"/>
        <v>0</v>
      </c>
      <c r="G254" s="3" t="str">
        <f t="shared" si="16"/>
        <v/>
      </c>
      <c r="J254" s="3" t="str">
        <f t="shared" si="17"/>
        <v/>
      </c>
      <c r="K254" s="3" t="str">
        <f t="shared" si="18"/>
        <v/>
      </c>
      <c r="L254" s="9" t="str">
        <f t="shared" si="19"/>
        <v/>
      </c>
      <c r="M254" s="3">
        <v>1</v>
      </c>
      <c r="N254" s="3">
        <v>1</v>
      </c>
      <c r="O254" s="15">
        <v>0</v>
      </c>
    </row>
    <row r="255" spans="1:15" x14ac:dyDescent="0.25">
      <c r="A255" t="s">
        <v>301</v>
      </c>
      <c r="B255" s="3" t="s">
        <v>33</v>
      </c>
      <c r="C255" s="3" t="s">
        <v>9</v>
      </c>
      <c r="D255" s="4">
        <v>20</v>
      </c>
      <c r="E255" s="11">
        <v>0.28999999999999998</v>
      </c>
      <c r="F255" s="9">
        <f t="shared" si="15"/>
        <v>5.8</v>
      </c>
      <c r="G255" s="3" t="str">
        <f t="shared" si="16"/>
        <v/>
      </c>
      <c r="J255" s="3" t="str">
        <f t="shared" si="17"/>
        <v/>
      </c>
      <c r="K255" s="3" t="str">
        <f t="shared" si="18"/>
        <v/>
      </c>
      <c r="L255" s="9" t="str">
        <f t="shared" si="19"/>
        <v/>
      </c>
      <c r="M255" s="3">
        <v>1</v>
      </c>
      <c r="N255" s="3"/>
      <c r="O255" s="15">
        <v>0</v>
      </c>
    </row>
    <row r="256" spans="1:15" x14ac:dyDescent="0.25">
      <c r="A256" t="s">
        <v>302</v>
      </c>
      <c r="B256" s="3" t="s">
        <v>10</v>
      </c>
      <c r="C256" s="3" t="s">
        <v>9</v>
      </c>
      <c r="D256" s="4">
        <v>-0.8</v>
      </c>
      <c r="E256" s="11">
        <v>10</v>
      </c>
      <c r="F256" s="9">
        <f t="shared" si="15"/>
        <v>-8</v>
      </c>
      <c r="G256" s="3" t="str">
        <f t="shared" si="16"/>
        <v/>
      </c>
      <c r="H256" s="3">
        <v>0</v>
      </c>
      <c r="I256" s="3">
        <v>0</v>
      </c>
      <c r="J256" s="3" t="str">
        <f t="shared" si="17"/>
        <v/>
      </c>
      <c r="K256" s="3" t="str">
        <f t="shared" si="18"/>
        <v/>
      </c>
      <c r="L256" s="9" t="str">
        <f t="shared" si="19"/>
        <v/>
      </c>
      <c r="N256" s="3">
        <v>1</v>
      </c>
      <c r="O256" s="15">
        <v>0.2</v>
      </c>
    </row>
    <row r="257" spans="1:15" x14ac:dyDescent="0.25">
      <c r="A257" t="s">
        <v>303</v>
      </c>
      <c r="B257" s="3" t="s">
        <v>33</v>
      </c>
      <c r="C257" s="3" t="s">
        <v>9</v>
      </c>
      <c r="D257" s="4">
        <v>4</v>
      </c>
      <c r="E257" s="11">
        <v>0.26</v>
      </c>
      <c r="F257" s="9">
        <f t="shared" si="15"/>
        <v>1.04</v>
      </c>
      <c r="G257" s="3" t="str">
        <f t="shared" si="16"/>
        <v/>
      </c>
      <c r="J257" s="3" t="str">
        <f t="shared" si="17"/>
        <v/>
      </c>
      <c r="K257" s="3" t="str">
        <f t="shared" si="18"/>
        <v/>
      </c>
      <c r="L257" s="9" t="str">
        <f t="shared" si="19"/>
        <v/>
      </c>
      <c r="M257" s="3">
        <v>1</v>
      </c>
      <c r="N257" s="3"/>
      <c r="O257" s="15">
        <v>0</v>
      </c>
    </row>
    <row r="258" spans="1:15" x14ac:dyDescent="0.25">
      <c r="A258" t="s">
        <v>304</v>
      </c>
      <c r="B258" s="3" t="s">
        <v>33</v>
      </c>
      <c r="C258" s="3" t="s">
        <v>9</v>
      </c>
      <c r="D258" s="4">
        <v>0</v>
      </c>
      <c r="E258" s="11">
        <v>2.66</v>
      </c>
      <c r="F258" s="9">
        <f t="shared" ref="F258:F321" si="20">SUM(D258*E258)</f>
        <v>0</v>
      </c>
      <c r="G258" s="3" t="str">
        <f t="shared" ref="G258:G321" si="21">IF(E258=0,"BLOCK","")</f>
        <v/>
      </c>
      <c r="J258" s="3" t="str">
        <f t="shared" ref="J258:J321" si="22">IF(H258=0,"",IF(D258&lt;=H258,"1",""))</f>
        <v/>
      </c>
      <c r="K258" s="3" t="str">
        <f t="shared" ref="K258:K321" si="23">IF(J258="","",I258-D258)</f>
        <v/>
      </c>
      <c r="L258" s="9" t="str">
        <f t="shared" ref="L258:L321" si="24">IF(J258="1",(I258-D258)*E258,"")</f>
        <v/>
      </c>
      <c r="M258" s="3">
        <v>1</v>
      </c>
      <c r="N258" s="3">
        <v>1</v>
      </c>
      <c r="O258" s="15">
        <v>0</v>
      </c>
    </row>
    <row r="259" spans="1:15" x14ac:dyDescent="0.25">
      <c r="A259" t="s">
        <v>305</v>
      </c>
      <c r="B259" s="3" t="s">
        <v>33</v>
      </c>
      <c r="C259" s="3" t="s">
        <v>9</v>
      </c>
      <c r="D259" s="4">
        <v>2</v>
      </c>
      <c r="E259" s="11">
        <v>1.56</v>
      </c>
      <c r="F259" s="9">
        <f t="shared" si="20"/>
        <v>3.12</v>
      </c>
      <c r="G259" s="3" t="str">
        <f t="shared" si="21"/>
        <v/>
      </c>
      <c r="J259" s="3" t="str">
        <f t="shared" si="22"/>
        <v/>
      </c>
      <c r="K259" s="3" t="str">
        <f t="shared" si="23"/>
        <v/>
      </c>
      <c r="L259" s="9" t="str">
        <f t="shared" si="24"/>
        <v/>
      </c>
      <c r="M259" s="3">
        <v>1</v>
      </c>
      <c r="N259" s="3"/>
      <c r="O259" s="15">
        <v>0</v>
      </c>
    </row>
    <row r="260" spans="1:15" x14ac:dyDescent="0.25">
      <c r="A260" t="s">
        <v>306</v>
      </c>
      <c r="B260" s="3" t="s">
        <v>33</v>
      </c>
      <c r="C260" s="3" t="s">
        <v>9</v>
      </c>
      <c r="D260" s="4">
        <v>4</v>
      </c>
      <c r="E260" s="11">
        <v>150</v>
      </c>
      <c r="F260" s="9">
        <f t="shared" si="20"/>
        <v>600</v>
      </c>
      <c r="G260" s="3" t="str">
        <f t="shared" si="21"/>
        <v/>
      </c>
      <c r="J260" s="3" t="str">
        <f t="shared" si="22"/>
        <v/>
      </c>
      <c r="K260" s="3" t="str">
        <f t="shared" si="23"/>
        <v/>
      </c>
      <c r="L260" s="9" t="str">
        <f t="shared" si="24"/>
        <v/>
      </c>
      <c r="M260" s="3">
        <v>1</v>
      </c>
      <c r="N260" s="3"/>
      <c r="O260" s="15">
        <v>0</v>
      </c>
    </row>
    <row r="261" spans="1:15" x14ac:dyDescent="0.25">
      <c r="A261" t="s">
        <v>307</v>
      </c>
      <c r="B261" s="3" t="s">
        <v>33</v>
      </c>
      <c r="C261" s="3" t="s">
        <v>9</v>
      </c>
      <c r="D261" s="4">
        <v>0</v>
      </c>
      <c r="E261" s="11">
        <v>0.26</v>
      </c>
      <c r="F261" s="9">
        <f t="shared" si="20"/>
        <v>0</v>
      </c>
      <c r="G261" s="3" t="str">
        <f t="shared" si="21"/>
        <v/>
      </c>
      <c r="J261" s="3" t="str">
        <f t="shared" si="22"/>
        <v/>
      </c>
      <c r="K261" s="3" t="str">
        <f t="shared" si="23"/>
        <v/>
      </c>
      <c r="L261" s="9" t="str">
        <f t="shared" si="24"/>
        <v/>
      </c>
      <c r="M261" s="3">
        <v>1</v>
      </c>
      <c r="N261" s="3">
        <v>1</v>
      </c>
      <c r="O261" s="15">
        <v>0</v>
      </c>
    </row>
    <row r="262" spans="1:15" x14ac:dyDescent="0.25">
      <c r="A262" t="s">
        <v>308</v>
      </c>
      <c r="B262" s="3" t="s">
        <v>33</v>
      </c>
      <c r="C262" s="3" t="s">
        <v>9</v>
      </c>
      <c r="D262" s="4">
        <v>0</v>
      </c>
      <c r="E262" s="11">
        <v>0.41</v>
      </c>
      <c r="F262" s="9">
        <f t="shared" si="20"/>
        <v>0</v>
      </c>
      <c r="G262" s="3" t="str">
        <f t="shared" si="21"/>
        <v/>
      </c>
      <c r="J262" s="3" t="str">
        <f t="shared" si="22"/>
        <v/>
      </c>
      <c r="K262" s="3" t="str">
        <f t="shared" si="23"/>
        <v/>
      </c>
      <c r="L262" s="9" t="str">
        <f t="shared" si="24"/>
        <v/>
      </c>
      <c r="M262" s="3">
        <v>1</v>
      </c>
      <c r="N262" s="3">
        <v>1</v>
      </c>
      <c r="O262" s="15">
        <v>0</v>
      </c>
    </row>
    <row r="263" spans="1:15" x14ac:dyDescent="0.25">
      <c r="A263" t="s">
        <v>309</v>
      </c>
      <c r="B263" s="3" t="s">
        <v>33</v>
      </c>
      <c r="C263" s="3" t="s">
        <v>9</v>
      </c>
      <c r="D263" s="4">
        <v>0</v>
      </c>
      <c r="E263" s="11">
        <v>0.27</v>
      </c>
      <c r="F263" s="9">
        <f t="shared" si="20"/>
        <v>0</v>
      </c>
      <c r="G263" s="3" t="str">
        <f t="shared" si="21"/>
        <v/>
      </c>
      <c r="J263" s="3" t="str">
        <f t="shared" si="22"/>
        <v/>
      </c>
      <c r="K263" s="3" t="str">
        <f t="shared" si="23"/>
        <v/>
      </c>
      <c r="L263" s="9" t="str">
        <f t="shared" si="24"/>
        <v/>
      </c>
      <c r="M263" s="3">
        <v>1</v>
      </c>
      <c r="N263" s="3">
        <v>1</v>
      </c>
      <c r="O263" s="15">
        <v>0</v>
      </c>
    </row>
    <row r="264" spans="1:15" x14ac:dyDescent="0.25">
      <c r="A264" t="s">
        <v>310</v>
      </c>
      <c r="B264" s="3" t="s">
        <v>33</v>
      </c>
      <c r="C264" s="3" t="s">
        <v>9</v>
      </c>
      <c r="D264" s="4">
        <v>2</v>
      </c>
      <c r="E264" s="11">
        <v>0.19</v>
      </c>
      <c r="F264" s="9">
        <f t="shared" si="20"/>
        <v>0.38</v>
      </c>
      <c r="G264" s="3" t="str">
        <f t="shared" si="21"/>
        <v/>
      </c>
      <c r="J264" s="3" t="str">
        <f t="shared" si="22"/>
        <v/>
      </c>
      <c r="K264" s="3" t="str">
        <f t="shared" si="23"/>
        <v/>
      </c>
      <c r="L264" s="9" t="str">
        <f t="shared" si="24"/>
        <v/>
      </c>
      <c r="M264" s="3">
        <v>1</v>
      </c>
      <c r="N264" s="3"/>
      <c r="O264" s="15">
        <v>0</v>
      </c>
    </row>
    <row r="265" spans="1:15" x14ac:dyDescent="0.25">
      <c r="A265" t="s">
        <v>311</v>
      </c>
      <c r="B265" s="3" t="s">
        <v>33</v>
      </c>
      <c r="C265" s="3" t="s">
        <v>9</v>
      </c>
      <c r="D265" s="4">
        <v>1</v>
      </c>
      <c r="E265" s="11">
        <v>3.62</v>
      </c>
      <c r="F265" s="9">
        <f t="shared" si="20"/>
        <v>3.62</v>
      </c>
      <c r="G265" s="3" t="str">
        <f t="shared" si="21"/>
        <v/>
      </c>
      <c r="J265" s="3" t="str">
        <f t="shared" si="22"/>
        <v/>
      </c>
      <c r="K265" s="3" t="str">
        <f t="shared" si="23"/>
        <v/>
      </c>
      <c r="L265" s="9" t="str">
        <f t="shared" si="24"/>
        <v/>
      </c>
      <c r="M265" s="3">
        <v>1</v>
      </c>
      <c r="N265" s="3"/>
      <c r="O265" s="15">
        <v>0</v>
      </c>
    </row>
    <row r="266" spans="1:15" x14ac:dyDescent="0.25">
      <c r="A266" t="s">
        <v>312</v>
      </c>
      <c r="B266" s="3" t="s">
        <v>33</v>
      </c>
      <c r="C266" s="3" t="s">
        <v>9</v>
      </c>
      <c r="D266" s="4">
        <v>1</v>
      </c>
      <c r="E266" s="11">
        <v>5.93</v>
      </c>
      <c r="F266" s="9">
        <f t="shared" si="20"/>
        <v>5.93</v>
      </c>
      <c r="G266" s="3" t="str">
        <f t="shared" si="21"/>
        <v/>
      </c>
      <c r="J266" s="3" t="str">
        <f t="shared" si="22"/>
        <v/>
      </c>
      <c r="K266" s="3" t="str">
        <f t="shared" si="23"/>
        <v/>
      </c>
      <c r="L266" s="9" t="str">
        <f t="shared" si="24"/>
        <v/>
      </c>
      <c r="M266" s="3">
        <v>1</v>
      </c>
      <c r="N266" s="3"/>
      <c r="O266" s="15">
        <v>0</v>
      </c>
    </row>
    <row r="267" spans="1:15" x14ac:dyDescent="0.25">
      <c r="A267" t="s">
        <v>313</v>
      </c>
      <c r="B267" s="3" t="s">
        <v>33</v>
      </c>
      <c r="C267" s="3" t="s">
        <v>9</v>
      </c>
      <c r="D267" s="4">
        <v>0</v>
      </c>
      <c r="E267" s="11">
        <v>4.83</v>
      </c>
      <c r="F267" s="9">
        <f t="shared" si="20"/>
        <v>0</v>
      </c>
      <c r="G267" s="3" t="str">
        <f t="shared" si="21"/>
        <v/>
      </c>
      <c r="H267" s="3">
        <v>0</v>
      </c>
      <c r="I267" s="3">
        <v>0</v>
      </c>
      <c r="J267" s="3" t="str">
        <f t="shared" si="22"/>
        <v/>
      </c>
      <c r="K267" s="3" t="str">
        <f t="shared" si="23"/>
        <v/>
      </c>
      <c r="L267" s="9" t="str">
        <f t="shared" si="24"/>
        <v/>
      </c>
      <c r="N267" s="3">
        <v>1</v>
      </c>
      <c r="O267" s="15">
        <v>1</v>
      </c>
    </row>
    <row r="268" spans="1:15" x14ac:dyDescent="0.25">
      <c r="A268" t="s">
        <v>314</v>
      </c>
      <c r="B268" s="3" t="s">
        <v>33</v>
      </c>
      <c r="C268" s="3" t="s">
        <v>9</v>
      </c>
      <c r="D268" s="4">
        <v>2</v>
      </c>
      <c r="E268" s="11">
        <v>6.93</v>
      </c>
      <c r="F268" s="9">
        <f t="shared" si="20"/>
        <v>13.86</v>
      </c>
      <c r="G268" s="3" t="str">
        <f t="shared" si="21"/>
        <v/>
      </c>
      <c r="J268" s="3" t="str">
        <f t="shared" si="22"/>
        <v/>
      </c>
      <c r="K268" s="3" t="str">
        <f t="shared" si="23"/>
        <v/>
      </c>
      <c r="L268" s="9" t="str">
        <f t="shared" si="24"/>
        <v/>
      </c>
      <c r="M268" s="3">
        <v>1</v>
      </c>
      <c r="N268" s="3">
        <v>3</v>
      </c>
      <c r="O268" s="15">
        <v>0</v>
      </c>
    </row>
    <row r="269" spans="1:15" x14ac:dyDescent="0.25">
      <c r="A269" t="s">
        <v>315</v>
      </c>
      <c r="B269" s="3" t="s">
        <v>33</v>
      </c>
      <c r="C269" s="3" t="s">
        <v>9</v>
      </c>
      <c r="D269" s="4">
        <v>2</v>
      </c>
      <c r="E269" s="11">
        <v>0.37</v>
      </c>
      <c r="F269" s="9">
        <f t="shared" si="20"/>
        <v>0.74</v>
      </c>
      <c r="G269" s="3" t="str">
        <f t="shared" si="21"/>
        <v/>
      </c>
      <c r="J269" s="3" t="str">
        <f t="shared" si="22"/>
        <v/>
      </c>
      <c r="K269" s="3" t="str">
        <f t="shared" si="23"/>
        <v/>
      </c>
      <c r="L269" s="9" t="str">
        <f t="shared" si="24"/>
        <v/>
      </c>
      <c r="M269" s="3">
        <v>1</v>
      </c>
      <c r="N269" s="3"/>
      <c r="O269" s="15">
        <v>0</v>
      </c>
    </row>
    <row r="270" spans="1:15" x14ac:dyDescent="0.25">
      <c r="A270" t="s">
        <v>316</v>
      </c>
      <c r="B270" s="3" t="s">
        <v>33</v>
      </c>
      <c r="C270" s="3" t="s">
        <v>9</v>
      </c>
      <c r="D270" s="4">
        <v>4</v>
      </c>
      <c r="E270" s="11">
        <v>0.45</v>
      </c>
      <c r="F270" s="9">
        <f t="shared" si="20"/>
        <v>1.8</v>
      </c>
      <c r="G270" s="3" t="str">
        <f t="shared" si="21"/>
        <v/>
      </c>
      <c r="J270" s="3" t="str">
        <f t="shared" si="22"/>
        <v/>
      </c>
      <c r="K270" s="3" t="str">
        <f t="shared" si="23"/>
        <v/>
      </c>
      <c r="L270" s="9" t="str">
        <f t="shared" si="24"/>
        <v/>
      </c>
      <c r="M270" s="3">
        <v>1</v>
      </c>
      <c r="N270" s="3"/>
      <c r="O270" s="15">
        <v>0</v>
      </c>
    </row>
    <row r="271" spans="1:15" x14ac:dyDescent="0.25">
      <c r="A271" t="s">
        <v>317</v>
      </c>
      <c r="B271" s="3" t="s">
        <v>33</v>
      </c>
      <c r="C271" s="3" t="s">
        <v>9</v>
      </c>
      <c r="D271" s="4">
        <v>4</v>
      </c>
      <c r="E271" s="11">
        <v>0.53</v>
      </c>
      <c r="F271" s="9">
        <f t="shared" si="20"/>
        <v>2.12</v>
      </c>
      <c r="G271" s="3" t="str">
        <f t="shared" si="21"/>
        <v/>
      </c>
      <c r="J271" s="3" t="str">
        <f t="shared" si="22"/>
        <v/>
      </c>
      <c r="K271" s="3" t="str">
        <f t="shared" si="23"/>
        <v/>
      </c>
      <c r="L271" s="9" t="str">
        <f t="shared" si="24"/>
        <v/>
      </c>
      <c r="M271" s="3">
        <v>1</v>
      </c>
      <c r="N271" s="3"/>
      <c r="O271" s="15">
        <v>0</v>
      </c>
    </row>
    <row r="272" spans="1:15" x14ac:dyDescent="0.25">
      <c r="A272" t="s">
        <v>318</v>
      </c>
      <c r="B272" s="3" t="s">
        <v>33</v>
      </c>
      <c r="C272" s="3" t="s">
        <v>9</v>
      </c>
      <c r="D272" s="4">
        <v>1</v>
      </c>
      <c r="E272" s="11">
        <v>8.7799999999999994</v>
      </c>
      <c r="F272" s="9">
        <f t="shared" si="20"/>
        <v>8.7799999999999994</v>
      </c>
      <c r="G272" s="3" t="str">
        <f t="shared" si="21"/>
        <v/>
      </c>
      <c r="J272" s="3" t="str">
        <f t="shared" si="22"/>
        <v/>
      </c>
      <c r="K272" s="3" t="str">
        <f t="shared" si="23"/>
        <v/>
      </c>
      <c r="L272" s="9" t="str">
        <f t="shared" si="24"/>
        <v/>
      </c>
      <c r="M272" s="3">
        <v>1</v>
      </c>
      <c r="N272" s="3"/>
      <c r="O272" s="15">
        <v>0</v>
      </c>
    </row>
    <row r="273" spans="1:15" x14ac:dyDescent="0.25">
      <c r="A273" t="s">
        <v>319</v>
      </c>
      <c r="B273" s="3" t="s">
        <v>8</v>
      </c>
      <c r="C273" s="3" t="s">
        <v>9</v>
      </c>
      <c r="D273" s="4">
        <v>2</v>
      </c>
      <c r="E273" s="11">
        <v>5.22</v>
      </c>
      <c r="F273" s="9">
        <f t="shared" si="20"/>
        <v>10.44</v>
      </c>
      <c r="G273" s="3" t="str">
        <f t="shared" si="21"/>
        <v/>
      </c>
      <c r="J273" s="3" t="str">
        <f t="shared" si="22"/>
        <v/>
      </c>
      <c r="K273" s="3" t="str">
        <f t="shared" si="23"/>
        <v/>
      </c>
      <c r="L273" s="9" t="str">
        <f t="shared" si="24"/>
        <v/>
      </c>
      <c r="M273" s="3">
        <v>1</v>
      </c>
      <c r="N273" s="3"/>
      <c r="O273" s="15">
        <v>0</v>
      </c>
    </row>
    <row r="274" spans="1:15" x14ac:dyDescent="0.25">
      <c r="A274" t="s">
        <v>320</v>
      </c>
      <c r="B274" s="3" t="s">
        <v>8</v>
      </c>
      <c r="C274" s="3" t="s">
        <v>9</v>
      </c>
      <c r="D274" s="4">
        <v>2</v>
      </c>
      <c r="E274" s="11">
        <v>4.3499999999999996</v>
      </c>
      <c r="F274" s="9">
        <f t="shared" si="20"/>
        <v>8.6999999999999993</v>
      </c>
      <c r="G274" s="3" t="str">
        <f t="shared" si="21"/>
        <v/>
      </c>
      <c r="J274" s="3" t="str">
        <f t="shared" si="22"/>
        <v/>
      </c>
      <c r="K274" s="3" t="str">
        <f t="shared" si="23"/>
        <v/>
      </c>
      <c r="L274" s="9" t="str">
        <f t="shared" si="24"/>
        <v/>
      </c>
      <c r="M274" s="3">
        <v>1</v>
      </c>
      <c r="N274" s="3"/>
      <c r="O274" s="15">
        <v>0</v>
      </c>
    </row>
    <row r="275" spans="1:15" x14ac:dyDescent="0.25">
      <c r="A275" t="s">
        <v>321</v>
      </c>
      <c r="B275" s="3" t="s">
        <v>8</v>
      </c>
      <c r="C275" s="3" t="s">
        <v>9</v>
      </c>
      <c r="D275" s="4">
        <v>-2</v>
      </c>
      <c r="E275" s="11">
        <v>21.74</v>
      </c>
      <c r="F275" s="9">
        <f t="shared" si="20"/>
        <v>-43.48</v>
      </c>
      <c r="G275" s="3" t="str">
        <f t="shared" si="21"/>
        <v/>
      </c>
      <c r="J275" s="3" t="str">
        <f t="shared" si="22"/>
        <v/>
      </c>
      <c r="K275" s="3" t="str">
        <f t="shared" si="23"/>
        <v/>
      </c>
      <c r="L275" s="9" t="str">
        <f t="shared" si="24"/>
        <v/>
      </c>
      <c r="M275" s="3">
        <v>1</v>
      </c>
      <c r="N275" s="3">
        <v>2</v>
      </c>
      <c r="O275" s="15">
        <v>0</v>
      </c>
    </row>
    <row r="276" spans="1:15" x14ac:dyDescent="0.25">
      <c r="A276" t="s">
        <v>322</v>
      </c>
      <c r="B276" s="3" t="s">
        <v>8</v>
      </c>
      <c r="C276" s="3" t="s">
        <v>9</v>
      </c>
      <c r="D276" s="4">
        <v>3</v>
      </c>
      <c r="E276" s="11">
        <v>6.09</v>
      </c>
      <c r="F276" s="9">
        <f t="shared" si="20"/>
        <v>18.27</v>
      </c>
      <c r="G276" s="3" t="str">
        <f t="shared" si="21"/>
        <v/>
      </c>
      <c r="J276" s="3" t="str">
        <f t="shared" si="22"/>
        <v/>
      </c>
      <c r="K276" s="3" t="str">
        <f t="shared" si="23"/>
        <v/>
      </c>
      <c r="L276" s="9" t="str">
        <f t="shared" si="24"/>
        <v/>
      </c>
      <c r="M276" s="3">
        <v>1</v>
      </c>
      <c r="N276" s="3"/>
      <c r="O276" s="15">
        <v>0</v>
      </c>
    </row>
    <row r="277" spans="1:15" x14ac:dyDescent="0.25">
      <c r="A277" t="s">
        <v>323</v>
      </c>
      <c r="B277" s="3" t="s">
        <v>33</v>
      </c>
      <c r="C277" s="3" t="s">
        <v>9</v>
      </c>
      <c r="D277" s="4">
        <v>2</v>
      </c>
      <c r="E277" s="11">
        <v>5.5</v>
      </c>
      <c r="F277" s="9">
        <f t="shared" si="20"/>
        <v>11</v>
      </c>
      <c r="G277" s="3" t="str">
        <f t="shared" si="21"/>
        <v/>
      </c>
      <c r="J277" s="3" t="str">
        <f t="shared" si="22"/>
        <v/>
      </c>
      <c r="K277" s="3" t="str">
        <f t="shared" si="23"/>
        <v/>
      </c>
      <c r="L277" s="9" t="str">
        <f t="shared" si="24"/>
        <v/>
      </c>
      <c r="M277" s="3">
        <v>1</v>
      </c>
      <c r="N277" s="3"/>
      <c r="O277" s="15">
        <v>0</v>
      </c>
    </row>
    <row r="278" spans="1:15" x14ac:dyDescent="0.25">
      <c r="A278" t="s">
        <v>324</v>
      </c>
      <c r="B278" s="3" t="s">
        <v>33</v>
      </c>
      <c r="C278" s="3" t="s">
        <v>9</v>
      </c>
      <c r="D278" s="4">
        <v>-2</v>
      </c>
      <c r="E278" s="11">
        <v>7</v>
      </c>
      <c r="F278" s="9">
        <f t="shared" si="20"/>
        <v>-14</v>
      </c>
      <c r="G278" s="3" t="str">
        <f t="shared" si="21"/>
        <v/>
      </c>
      <c r="J278" s="3" t="str">
        <f t="shared" si="22"/>
        <v/>
      </c>
      <c r="K278" s="3" t="str">
        <f t="shared" si="23"/>
        <v/>
      </c>
      <c r="L278" s="9" t="str">
        <f t="shared" si="24"/>
        <v/>
      </c>
      <c r="M278" s="3">
        <v>1</v>
      </c>
      <c r="N278" s="3">
        <v>3</v>
      </c>
      <c r="O278" s="15">
        <v>0</v>
      </c>
    </row>
    <row r="279" spans="1:15" x14ac:dyDescent="0.25">
      <c r="A279" t="s">
        <v>325</v>
      </c>
      <c r="B279" s="3" t="s">
        <v>33</v>
      </c>
      <c r="C279" s="3" t="s">
        <v>9</v>
      </c>
      <c r="D279" s="4">
        <v>-8</v>
      </c>
      <c r="E279" s="11">
        <v>12</v>
      </c>
      <c r="F279" s="9">
        <f t="shared" si="20"/>
        <v>-96</v>
      </c>
      <c r="G279" s="3" t="str">
        <f t="shared" si="21"/>
        <v/>
      </c>
      <c r="J279" s="3" t="str">
        <f t="shared" si="22"/>
        <v/>
      </c>
      <c r="K279" s="3" t="str">
        <f t="shared" si="23"/>
        <v/>
      </c>
      <c r="L279" s="9" t="str">
        <f t="shared" si="24"/>
        <v/>
      </c>
      <c r="M279" s="3">
        <v>1</v>
      </c>
      <c r="N279" s="3">
        <v>7</v>
      </c>
      <c r="O279" s="15">
        <v>0</v>
      </c>
    </row>
    <row r="280" spans="1:15" x14ac:dyDescent="0.25">
      <c r="A280" t="s">
        <v>326</v>
      </c>
      <c r="B280" s="3" t="s">
        <v>33</v>
      </c>
      <c r="C280" s="3" t="s">
        <v>9</v>
      </c>
      <c r="D280" s="4">
        <v>1</v>
      </c>
      <c r="E280" s="11">
        <v>14</v>
      </c>
      <c r="F280" s="9">
        <f t="shared" si="20"/>
        <v>14</v>
      </c>
      <c r="G280" s="3" t="str">
        <f t="shared" si="21"/>
        <v/>
      </c>
      <c r="J280" s="3" t="str">
        <f t="shared" si="22"/>
        <v/>
      </c>
      <c r="K280" s="3" t="str">
        <f t="shared" si="23"/>
        <v/>
      </c>
      <c r="L280" s="9" t="str">
        <f t="shared" si="24"/>
        <v/>
      </c>
      <c r="M280" s="3">
        <v>1</v>
      </c>
      <c r="N280" s="3"/>
      <c r="O280" s="15">
        <v>0</v>
      </c>
    </row>
    <row r="281" spans="1:15" x14ac:dyDescent="0.25">
      <c r="A281" t="s">
        <v>327</v>
      </c>
      <c r="B281" s="3" t="s">
        <v>33</v>
      </c>
      <c r="C281" s="3" t="s">
        <v>9</v>
      </c>
      <c r="D281" s="4">
        <v>0</v>
      </c>
      <c r="E281" s="11">
        <v>21.74</v>
      </c>
      <c r="F281" s="9">
        <f t="shared" si="20"/>
        <v>0</v>
      </c>
      <c r="G281" s="3" t="str">
        <f t="shared" si="21"/>
        <v/>
      </c>
      <c r="J281" s="3" t="str">
        <f t="shared" si="22"/>
        <v/>
      </c>
      <c r="K281" s="3" t="str">
        <f t="shared" si="23"/>
        <v/>
      </c>
      <c r="L281" s="9" t="str">
        <f t="shared" si="24"/>
        <v/>
      </c>
      <c r="M281" s="3">
        <v>1</v>
      </c>
      <c r="N281" s="3">
        <v>1</v>
      </c>
      <c r="O281" s="15">
        <v>0</v>
      </c>
    </row>
    <row r="282" spans="1:15" x14ac:dyDescent="0.25">
      <c r="A282" t="s">
        <v>328</v>
      </c>
      <c r="B282" s="3" t="s">
        <v>60</v>
      </c>
      <c r="C282" s="3" t="s">
        <v>9</v>
      </c>
      <c r="D282" s="4">
        <v>1</v>
      </c>
      <c r="E282" s="11">
        <v>5.22</v>
      </c>
      <c r="F282" s="9">
        <f t="shared" si="20"/>
        <v>5.22</v>
      </c>
      <c r="G282" s="3" t="str">
        <f t="shared" si="21"/>
        <v/>
      </c>
      <c r="J282" s="3" t="str">
        <f t="shared" si="22"/>
        <v/>
      </c>
      <c r="K282" s="3" t="str">
        <f t="shared" si="23"/>
        <v/>
      </c>
      <c r="L282" s="9" t="str">
        <f t="shared" si="24"/>
        <v/>
      </c>
      <c r="M282" s="3">
        <v>1</v>
      </c>
      <c r="N282" s="3"/>
      <c r="O282" s="15">
        <v>0</v>
      </c>
    </row>
    <row r="283" spans="1:15" x14ac:dyDescent="0.25">
      <c r="A283" t="s">
        <v>329</v>
      </c>
      <c r="B283" s="3" t="s">
        <v>33</v>
      </c>
      <c r="C283" s="3" t="s">
        <v>9</v>
      </c>
      <c r="D283" s="4">
        <v>10</v>
      </c>
      <c r="E283" s="11">
        <v>0.6</v>
      </c>
      <c r="F283" s="9">
        <f t="shared" si="20"/>
        <v>6</v>
      </c>
      <c r="G283" s="3" t="str">
        <f t="shared" si="21"/>
        <v/>
      </c>
      <c r="J283" s="3" t="str">
        <f t="shared" si="22"/>
        <v/>
      </c>
      <c r="K283" s="3" t="str">
        <f t="shared" si="23"/>
        <v/>
      </c>
      <c r="L283" s="9" t="str">
        <f t="shared" si="24"/>
        <v/>
      </c>
      <c r="M283" s="3">
        <v>1</v>
      </c>
      <c r="N283" s="3"/>
      <c r="O283" s="15">
        <v>0</v>
      </c>
    </row>
    <row r="284" spans="1:15" x14ac:dyDescent="0.25">
      <c r="A284" t="s">
        <v>486</v>
      </c>
      <c r="B284" s="3" t="s">
        <v>33</v>
      </c>
      <c r="C284" s="3" t="s">
        <v>9</v>
      </c>
      <c r="D284" s="4">
        <v>0</v>
      </c>
      <c r="E284" s="11">
        <v>21.48</v>
      </c>
      <c r="F284" s="9">
        <f t="shared" si="20"/>
        <v>0</v>
      </c>
      <c r="G284" s="3" t="str">
        <f t="shared" si="21"/>
        <v/>
      </c>
      <c r="J284" s="3" t="str">
        <f t="shared" si="22"/>
        <v/>
      </c>
      <c r="K284" s="3" t="str">
        <f t="shared" si="23"/>
        <v/>
      </c>
      <c r="L284" s="9" t="str">
        <f t="shared" si="24"/>
        <v/>
      </c>
      <c r="M284" s="3">
        <v>1</v>
      </c>
      <c r="N284" s="3">
        <v>1</v>
      </c>
      <c r="O284" s="15">
        <v>0</v>
      </c>
    </row>
    <row r="285" spans="1:15" x14ac:dyDescent="0.25">
      <c r="A285" t="s">
        <v>330</v>
      </c>
      <c r="B285" s="3" t="s">
        <v>33</v>
      </c>
      <c r="C285" s="3" t="s">
        <v>9</v>
      </c>
      <c r="D285" s="4">
        <v>-6</v>
      </c>
      <c r="E285" s="11">
        <v>0.57999999999999996</v>
      </c>
      <c r="F285" s="9">
        <f t="shared" si="20"/>
        <v>-3.4799999999999995</v>
      </c>
      <c r="G285" s="3" t="str">
        <f t="shared" si="21"/>
        <v/>
      </c>
      <c r="J285" s="3" t="str">
        <f t="shared" si="22"/>
        <v/>
      </c>
      <c r="K285" s="3" t="str">
        <f t="shared" si="23"/>
        <v/>
      </c>
      <c r="L285" s="9" t="str">
        <f t="shared" si="24"/>
        <v/>
      </c>
      <c r="M285" s="3">
        <v>1</v>
      </c>
      <c r="N285" s="3">
        <v>2</v>
      </c>
      <c r="O285" s="15">
        <v>0</v>
      </c>
    </row>
    <row r="286" spans="1:15" x14ac:dyDescent="0.25">
      <c r="A286" t="s">
        <v>331</v>
      </c>
      <c r="B286" s="3" t="s">
        <v>33</v>
      </c>
      <c r="C286" s="3" t="s">
        <v>9</v>
      </c>
      <c r="D286" s="4">
        <v>2</v>
      </c>
      <c r="E286" s="11">
        <v>0.74</v>
      </c>
      <c r="F286" s="9">
        <f t="shared" si="20"/>
        <v>1.48</v>
      </c>
      <c r="G286" s="3" t="str">
        <f t="shared" si="21"/>
        <v/>
      </c>
      <c r="J286" s="3" t="str">
        <f t="shared" si="22"/>
        <v/>
      </c>
      <c r="K286" s="3" t="str">
        <f t="shared" si="23"/>
        <v/>
      </c>
      <c r="L286" s="9" t="str">
        <f t="shared" si="24"/>
        <v/>
      </c>
      <c r="M286" s="3">
        <v>1</v>
      </c>
      <c r="N286" s="3"/>
      <c r="O286" s="15">
        <v>0</v>
      </c>
    </row>
    <row r="287" spans="1:15" x14ac:dyDescent="0.25">
      <c r="A287" t="s">
        <v>332</v>
      </c>
      <c r="B287" s="3" t="s">
        <v>33</v>
      </c>
      <c r="C287" s="3" t="s">
        <v>9</v>
      </c>
      <c r="D287" s="4">
        <v>2</v>
      </c>
      <c r="E287" s="11">
        <v>1.18</v>
      </c>
      <c r="F287" s="9">
        <f t="shared" si="20"/>
        <v>2.36</v>
      </c>
      <c r="G287" s="3" t="str">
        <f t="shared" si="21"/>
        <v/>
      </c>
      <c r="J287" s="3" t="str">
        <f t="shared" si="22"/>
        <v/>
      </c>
      <c r="K287" s="3" t="str">
        <f t="shared" si="23"/>
        <v/>
      </c>
      <c r="L287" s="9" t="str">
        <f t="shared" si="24"/>
        <v/>
      </c>
      <c r="M287" s="3">
        <v>1</v>
      </c>
      <c r="N287" s="3"/>
      <c r="O287" s="15">
        <v>0</v>
      </c>
    </row>
    <row r="288" spans="1:15" x14ac:dyDescent="0.25">
      <c r="A288" t="s">
        <v>333</v>
      </c>
      <c r="B288" s="3" t="s">
        <v>33</v>
      </c>
      <c r="C288" s="3" t="s">
        <v>9</v>
      </c>
      <c r="D288" s="4">
        <v>2</v>
      </c>
      <c r="E288" s="11">
        <v>0.76</v>
      </c>
      <c r="F288" s="9">
        <f t="shared" si="20"/>
        <v>1.52</v>
      </c>
      <c r="G288" s="3" t="str">
        <f t="shared" si="21"/>
        <v/>
      </c>
      <c r="J288" s="3" t="str">
        <f t="shared" si="22"/>
        <v/>
      </c>
      <c r="K288" s="3" t="str">
        <f t="shared" si="23"/>
        <v/>
      </c>
      <c r="L288" s="9" t="str">
        <f t="shared" si="24"/>
        <v/>
      </c>
      <c r="M288" s="3">
        <v>1</v>
      </c>
      <c r="N288" s="3"/>
      <c r="O288" s="15">
        <v>0</v>
      </c>
    </row>
    <row r="289" spans="1:15" x14ac:dyDescent="0.25">
      <c r="A289" t="s">
        <v>334</v>
      </c>
      <c r="B289" s="3" t="s">
        <v>33</v>
      </c>
      <c r="C289" s="3" t="s">
        <v>9</v>
      </c>
      <c r="D289" s="4">
        <v>1</v>
      </c>
      <c r="E289" s="11">
        <v>24.3</v>
      </c>
      <c r="F289" s="9">
        <f t="shared" si="20"/>
        <v>24.3</v>
      </c>
      <c r="G289" s="3" t="str">
        <f t="shared" si="21"/>
        <v/>
      </c>
      <c r="H289" s="3">
        <v>0</v>
      </c>
      <c r="I289" s="3">
        <v>0</v>
      </c>
      <c r="J289" s="3" t="str">
        <f t="shared" si="22"/>
        <v/>
      </c>
      <c r="K289" s="3" t="str">
        <f t="shared" si="23"/>
        <v/>
      </c>
      <c r="L289" s="9" t="str">
        <f t="shared" si="24"/>
        <v/>
      </c>
      <c r="N289" s="3"/>
      <c r="O289" s="15">
        <v>1</v>
      </c>
    </row>
    <row r="290" spans="1:15" x14ac:dyDescent="0.25">
      <c r="A290" t="s">
        <v>335</v>
      </c>
      <c r="B290" s="3" t="s">
        <v>33</v>
      </c>
      <c r="C290" s="3" t="s">
        <v>9</v>
      </c>
      <c r="D290" s="4">
        <v>1</v>
      </c>
      <c r="E290" s="11">
        <v>28</v>
      </c>
      <c r="F290" s="9">
        <f t="shared" si="20"/>
        <v>28</v>
      </c>
      <c r="G290" s="3" t="str">
        <f t="shared" si="21"/>
        <v/>
      </c>
      <c r="H290" s="3">
        <v>0</v>
      </c>
      <c r="I290" s="3">
        <v>0</v>
      </c>
      <c r="J290" s="3" t="str">
        <f t="shared" si="22"/>
        <v/>
      </c>
      <c r="K290" s="3" t="str">
        <f t="shared" si="23"/>
        <v/>
      </c>
      <c r="L290" s="9" t="str">
        <f t="shared" si="24"/>
        <v/>
      </c>
      <c r="N290" s="3"/>
      <c r="O290" s="15">
        <v>1</v>
      </c>
    </row>
    <row r="291" spans="1:15" x14ac:dyDescent="0.25">
      <c r="A291" t="s">
        <v>336</v>
      </c>
      <c r="B291" s="3" t="s">
        <v>33</v>
      </c>
      <c r="C291" s="3" t="s">
        <v>9</v>
      </c>
      <c r="D291" s="4">
        <v>1</v>
      </c>
      <c r="E291" s="11">
        <v>21</v>
      </c>
      <c r="F291" s="9">
        <f t="shared" si="20"/>
        <v>21</v>
      </c>
      <c r="G291" s="3" t="str">
        <f t="shared" si="21"/>
        <v/>
      </c>
      <c r="H291" s="3">
        <v>0</v>
      </c>
      <c r="I291" s="3">
        <v>0</v>
      </c>
      <c r="J291" s="3" t="str">
        <f t="shared" si="22"/>
        <v/>
      </c>
      <c r="K291" s="3" t="str">
        <f t="shared" si="23"/>
        <v/>
      </c>
      <c r="L291" s="9" t="str">
        <f t="shared" si="24"/>
        <v/>
      </c>
      <c r="N291" s="3"/>
      <c r="O291" s="15">
        <v>1</v>
      </c>
    </row>
    <row r="292" spans="1:15" x14ac:dyDescent="0.25">
      <c r="A292" t="s">
        <v>337</v>
      </c>
      <c r="B292" s="3" t="s">
        <v>33</v>
      </c>
      <c r="C292" s="3" t="s">
        <v>9</v>
      </c>
      <c r="D292" s="4">
        <v>-6</v>
      </c>
      <c r="E292" s="11">
        <v>5.7600000000000007</v>
      </c>
      <c r="F292" s="9">
        <f t="shared" si="20"/>
        <v>-34.56</v>
      </c>
      <c r="G292" s="3" t="str">
        <f t="shared" si="21"/>
        <v/>
      </c>
      <c r="J292" s="3" t="str">
        <f t="shared" si="22"/>
        <v/>
      </c>
      <c r="K292" s="3" t="str">
        <f t="shared" si="23"/>
        <v/>
      </c>
      <c r="L292" s="9" t="str">
        <f t="shared" si="24"/>
        <v/>
      </c>
      <c r="M292" s="3">
        <v>1</v>
      </c>
      <c r="N292" s="3">
        <v>2</v>
      </c>
      <c r="O292" s="15">
        <v>0</v>
      </c>
    </row>
    <row r="293" spans="1:15" x14ac:dyDescent="0.25">
      <c r="A293" t="s">
        <v>338</v>
      </c>
      <c r="B293" s="3" t="s">
        <v>33</v>
      </c>
      <c r="C293" s="3" t="s">
        <v>9</v>
      </c>
      <c r="D293" s="4">
        <v>2</v>
      </c>
      <c r="E293" s="11">
        <v>7.37</v>
      </c>
      <c r="F293" s="9">
        <f t="shared" si="20"/>
        <v>14.74</v>
      </c>
      <c r="G293" s="3" t="str">
        <f t="shared" si="21"/>
        <v/>
      </c>
      <c r="J293" s="3" t="str">
        <f t="shared" si="22"/>
        <v/>
      </c>
      <c r="K293" s="3" t="str">
        <f t="shared" si="23"/>
        <v/>
      </c>
      <c r="L293" s="9" t="str">
        <f t="shared" si="24"/>
        <v/>
      </c>
      <c r="M293" s="3">
        <v>1</v>
      </c>
      <c r="N293" s="3"/>
      <c r="O293" s="15">
        <v>0</v>
      </c>
    </row>
    <row r="294" spans="1:15" x14ac:dyDescent="0.25">
      <c r="A294" t="s">
        <v>339</v>
      </c>
      <c r="B294" s="3" t="s">
        <v>10</v>
      </c>
      <c r="C294" s="3" t="s">
        <v>9</v>
      </c>
      <c r="D294" s="4">
        <v>96</v>
      </c>
      <c r="E294" s="11">
        <v>30</v>
      </c>
      <c r="F294" s="9">
        <f t="shared" si="20"/>
        <v>2880</v>
      </c>
      <c r="G294" s="3" t="str">
        <f t="shared" si="21"/>
        <v/>
      </c>
      <c r="J294" s="3" t="str">
        <f t="shared" si="22"/>
        <v/>
      </c>
      <c r="K294" s="3" t="str">
        <f t="shared" si="23"/>
        <v/>
      </c>
      <c r="L294" s="9" t="str">
        <f t="shared" si="24"/>
        <v/>
      </c>
      <c r="M294" s="3">
        <v>12</v>
      </c>
      <c r="N294" s="3"/>
      <c r="O294" s="15">
        <v>0</v>
      </c>
    </row>
    <row r="295" spans="1:15" x14ac:dyDescent="0.25">
      <c r="A295" t="s">
        <v>487</v>
      </c>
      <c r="B295" s="3" t="s">
        <v>33</v>
      </c>
      <c r="C295" s="3" t="s">
        <v>9</v>
      </c>
      <c r="D295" s="4">
        <v>0</v>
      </c>
      <c r="E295" s="11">
        <v>0.15</v>
      </c>
      <c r="F295" s="9">
        <f t="shared" si="20"/>
        <v>0</v>
      </c>
      <c r="G295" s="3" t="str">
        <f t="shared" si="21"/>
        <v/>
      </c>
      <c r="J295" s="3" t="str">
        <f t="shared" si="22"/>
        <v/>
      </c>
      <c r="K295" s="3" t="str">
        <f t="shared" si="23"/>
        <v/>
      </c>
      <c r="L295" s="9" t="str">
        <f t="shared" si="24"/>
        <v/>
      </c>
      <c r="M295" s="3">
        <v>1</v>
      </c>
      <c r="N295" s="3">
        <v>1</v>
      </c>
      <c r="O295" s="15">
        <v>0</v>
      </c>
    </row>
    <row r="296" spans="1:15" x14ac:dyDescent="0.25">
      <c r="A296" t="s">
        <v>488</v>
      </c>
      <c r="B296" s="3" t="s">
        <v>33</v>
      </c>
      <c r="C296" s="3" t="s">
        <v>9</v>
      </c>
      <c r="D296" s="4">
        <v>0</v>
      </c>
      <c r="E296" s="11">
        <v>0.21</v>
      </c>
      <c r="F296" s="9">
        <f t="shared" si="20"/>
        <v>0</v>
      </c>
      <c r="G296" s="3" t="str">
        <f t="shared" si="21"/>
        <v/>
      </c>
      <c r="J296" s="3" t="str">
        <f t="shared" si="22"/>
        <v/>
      </c>
      <c r="K296" s="3" t="str">
        <f t="shared" si="23"/>
        <v/>
      </c>
      <c r="L296" s="9" t="str">
        <f t="shared" si="24"/>
        <v/>
      </c>
      <c r="M296" s="3">
        <v>1</v>
      </c>
      <c r="N296" s="3">
        <v>1</v>
      </c>
      <c r="O296" s="15">
        <v>0</v>
      </c>
    </row>
    <row r="297" spans="1:15" x14ac:dyDescent="0.25">
      <c r="A297" t="s">
        <v>340</v>
      </c>
      <c r="B297" s="3" t="s">
        <v>10</v>
      </c>
      <c r="C297" s="3" t="s">
        <v>9</v>
      </c>
      <c r="D297" s="4">
        <v>1</v>
      </c>
      <c r="E297" s="11">
        <v>7</v>
      </c>
      <c r="F297" s="9">
        <f t="shared" si="20"/>
        <v>7</v>
      </c>
      <c r="G297" s="3" t="str">
        <f t="shared" si="21"/>
        <v/>
      </c>
      <c r="H297" s="3">
        <v>0</v>
      </c>
      <c r="I297" s="3">
        <v>0</v>
      </c>
      <c r="J297" s="3" t="str">
        <f t="shared" si="22"/>
        <v/>
      </c>
      <c r="K297" s="3" t="str">
        <f t="shared" si="23"/>
        <v/>
      </c>
      <c r="L297" s="9" t="str">
        <f t="shared" si="24"/>
        <v/>
      </c>
      <c r="M297" s="3">
        <v>1</v>
      </c>
      <c r="N297" s="3"/>
      <c r="O297" s="15">
        <v>1</v>
      </c>
    </row>
    <row r="298" spans="1:15" x14ac:dyDescent="0.25">
      <c r="A298" t="s">
        <v>341</v>
      </c>
      <c r="B298" s="3" t="s">
        <v>10</v>
      </c>
      <c r="C298" s="3" t="s">
        <v>9</v>
      </c>
      <c r="D298" s="4">
        <v>0</v>
      </c>
      <c r="E298" s="11">
        <v>3.62</v>
      </c>
      <c r="F298" s="9">
        <f t="shared" si="20"/>
        <v>0</v>
      </c>
      <c r="G298" s="3" t="str">
        <f t="shared" si="21"/>
        <v/>
      </c>
      <c r="H298" s="3">
        <v>0</v>
      </c>
      <c r="I298" s="3">
        <v>0</v>
      </c>
      <c r="J298" s="3" t="str">
        <f t="shared" si="22"/>
        <v/>
      </c>
      <c r="K298" s="3" t="str">
        <f t="shared" si="23"/>
        <v/>
      </c>
      <c r="L298" s="9" t="str">
        <f t="shared" si="24"/>
        <v/>
      </c>
      <c r="N298" s="3">
        <v>1</v>
      </c>
      <c r="O298" s="15">
        <v>1</v>
      </c>
    </row>
    <row r="299" spans="1:15" x14ac:dyDescent="0.25">
      <c r="A299" t="s">
        <v>342</v>
      </c>
      <c r="B299" s="3" t="s">
        <v>10</v>
      </c>
      <c r="C299" s="3" t="s">
        <v>9</v>
      </c>
      <c r="D299" s="4">
        <v>1</v>
      </c>
      <c r="E299" s="11">
        <v>3</v>
      </c>
      <c r="F299" s="9">
        <f t="shared" si="20"/>
        <v>3</v>
      </c>
      <c r="G299" s="3" t="str">
        <f t="shared" si="21"/>
        <v/>
      </c>
      <c r="H299" s="3">
        <v>0</v>
      </c>
      <c r="I299" s="3">
        <v>0</v>
      </c>
      <c r="J299" s="3" t="str">
        <f t="shared" si="22"/>
        <v/>
      </c>
      <c r="K299" s="3" t="str">
        <f t="shared" si="23"/>
        <v/>
      </c>
      <c r="L299" s="9" t="str">
        <f t="shared" si="24"/>
        <v/>
      </c>
      <c r="N299" s="3"/>
      <c r="O299" s="15">
        <v>1</v>
      </c>
    </row>
    <row r="300" spans="1:15" x14ac:dyDescent="0.25">
      <c r="A300" t="s">
        <v>489</v>
      </c>
      <c r="B300" s="3" t="s">
        <v>33</v>
      </c>
      <c r="C300" s="3" t="s">
        <v>9</v>
      </c>
      <c r="D300" s="4">
        <v>0</v>
      </c>
      <c r="E300" s="11">
        <v>1.1200000000000001</v>
      </c>
      <c r="F300" s="9">
        <f t="shared" si="20"/>
        <v>0</v>
      </c>
      <c r="G300" s="3" t="str">
        <f t="shared" si="21"/>
        <v/>
      </c>
      <c r="J300" s="3" t="str">
        <f t="shared" si="22"/>
        <v/>
      </c>
      <c r="K300" s="3" t="str">
        <f t="shared" si="23"/>
        <v/>
      </c>
      <c r="L300" s="9" t="str">
        <f t="shared" si="24"/>
        <v/>
      </c>
      <c r="M300" s="3">
        <v>1</v>
      </c>
      <c r="N300" s="3">
        <v>1</v>
      </c>
      <c r="O300" s="15">
        <v>0</v>
      </c>
    </row>
    <row r="301" spans="1:15" x14ac:dyDescent="0.25">
      <c r="A301" t="s">
        <v>343</v>
      </c>
      <c r="B301" s="3" t="s">
        <v>33</v>
      </c>
      <c r="C301" s="3" t="s">
        <v>9</v>
      </c>
      <c r="D301" s="4">
        <v>4</v>
      </c>
      <c r="E301" s="11">
        <v>2.61</v>
      </c>
      <c r="F301" s="9">
        <f t="shared" si="20"/>
        <v>10.44</v>
      </c>
      <c r="G301" s="3" t="str">
        <f t="shared" si="21"/>
        <v/>
      </c>
      <c r="J301" s="3" t="str">
        <f t="shared" si="22"/>
        <v/>
      </c>
      <c r="K301" s="3" t="str">
        <f t="shared" si="23"/>
        <v/>
      </c>
      <c r="L301" s="9" t="str">
        <f t="shared" si="24"/>
        <v/>
      </c>
      <c r="M301" s="3">
        <v>1</v>
      </c>
      <c r="N301" s="3"/>
      <c r="O301" s="15">
        <v>0</v>
      </c>
    </row>
    <row r="302" spans="1:15" x14ac:dyDescent="0.25">
      <c r="A302" t="s">
        <v>78</v>
      </c>
      <c r="B302" s="3" t="s">
        <v>147</v>
      </c>
      <c r="C302" s="3" t="s">
        <v>9</v>
      </c>
      <c r="D302" s="4">
        <v>-3</v>
      </c>
      <c r="E302" s="11">
        <v>0.19</v>
      </c>
      <c r="F302" s="9">
        <f t="shared" si="20"/>
        <v>-0.57000000000000006</v>
      </c>
      <c r="G302" s="3" t="str">
        <f t="shared" si="21"/>
        <v/>
      </c>
      <c r="H302" s="3">
        <v>0</v>
      </c>
      <c r="I302" s="3">
        <v>0</v>
      </c>
      <c r="J302" s="3" t="str">
        <f t="shared" si="22"/>
        <v/>
      </c>
      <c r="K302" s="3" t="str">
        <f t="shared" si="23"/>
        <v/>
      </c>
      <c r="L302" s="9" t="str">
        <f t="shared" si="24"/>
        <v/>
      </c>
      <c r="N302" s="3">
        <v>4</v>
      </c>
      <c r="O302" s="15">
        <v>3</v>
      </c>
    </row>
    <row r="303" spans="1:15" x14ac:dyDescent="0.25">
      <c r="A303" t="s">
        <v>344</v>
      </c>
      <c r="B303" s="3" t="s">
        <v>33</v>
      </c>
      <c r="C303" s="3" t="s">
        <v>9</v>
      </c>
      <c r="D303" s="4">
        <v>10</v>
      </c>
      <c r="E303" s="11">
        <v>7</v>
      </c>
      <c r="F303" s="9">
        <f t="shared" si="20"/>
        <v>70</v>
      </c>
      <c r="G303" s="3" t="str">
        <f t="shared" si="21"/>
        <v/>
      </c>
      <c r="J303" s="3" t="str">
        <f t="shared" si="22"/>
        <v/>
      </c>
      <c r="K303" s="3" t="str">
        <f t="shared" si="23"/>
        <v/>
      </c>
      <c r="L303" s="9" t="str">
        <f t="shared" si="24"/>
        <v/>
      </c>
      <c r="M303" s="3">
        <v>1</v>
      </c>
      <c r="N303" s="3"/>
      <c r="O303" s="15">
        <v>0</v>
      </c>
    </row>
    <row r="304" spans="1:15" x14ac:dyDescent="0.25">
      <c r="A304" t="s">
        <v>345</v>
      </c>
      <c r="B304" s="3" t="s">
        <v>33</v>
      </c>
      <c r="C304" s="3" t="s">
        <v>9</v>
      </c>
      <c r="D304" s="4">
        <v>1</v>
      </c>
      <c r="E304" s="11">
        <v>42</v>
      </c>
      <c r="F304" s="9">
        <f t="shared" si="20"/>
        <v>42</v>
      </c>
      <c r="G304" s="3" t="str">
        <f t="shared" si="21"/>
        <v/>
      </c>
      <c r="H304" s="3">
        <v>0</v>
      </c>
      <c r="I304" s="3">
        <v>0</v>
      </c>
      <c r="J304" s="3" t="str">
        <f t="shared" si="22"/>
        <v/>
      </c>
      <c r="K304" s="3" t="str">
        <f t="shared" si="23"/>
        <v/>
      </c>
      <c r="L304" s="9" t="str">
        <f t="shared" si="24"/>
        <v/>
      </c>
      <c r="N304" s="3"/>
      <c r="O304" s="15">
        <v>1</v>
      </c>
    </row>
    <row r="305" spans="1:15" x14ac:dyDescent="0.25">
      <c r="A305" t="s">
        <v>346</v>
      </c>
      <c r="B305" s="3" t="s">
        <v>33</v>
      </c>
      <c r="C305" s="3" t="s">
        <v>9</v>
      </c>
      <c r="D305" s="4">
        <v>1</v>
      </c>
      <c r="E305" s="11">
        <v>8.6999999999999993</v>
      </c>
      <c r="F305" s="9">
        <f t="shared" si="20"/>
        <v>8.6999999999999993</v>
      </c>
      <c r="G305" s="3" t="str">
        <f t="shared" si="21"/>
        <v/>
      </c>
      <c r="J305" s="3" t="str">
        <f t="shared" si="22"/>
        <v/>
      </c>
      <c r="K305" s="3" t="str">
        <f t="shared" si="23"/>
        <v/>
      </c>
      <c r="L305" s="9" t="str">
        <f t="shared" si="24"/>
        <v/>
      </c>
      <c r="M305" s="3">
        <v>1</v>
      </c>
      <c r="N305" s="3">
        <v>1</v>
      </c>
      <c r="O305" s="15">
        <v>0</v>
      </c>
    </row>
    <row r="306" spans="1:15" x14ac:dyDescent="0.25">
      <c r="A306" t="s">
        <v>79</v>
      </c>
      <c r="B306" s="3" t="s">
        <v>33</v>
      </c>
      <c r="C306" s="3" t="s">
        <v>9</v>
      </c>
      <c r="D306" s="4">
        <v>23</v>
      </c>
      <c r="E306" s="11">
        <v>0.6</v>
      </c>
      <c r="F306" s="9">
        <f t="shared" si="20"/>
        <v>13.799999999999999</v>
      </c>
      <c r="G306" s="3" t="str">
        <f t="shared" si="21"/>
        <v/>
      </c>
      <c r="H306" s="3">
        <v>0</v>
      </c>
      <c r="I306" s="3">
        <v>0</v>
      </c>
      <c r="J306" s="3" t="str">
        <f t="shared" si="22"/>
        <v/>
      </c>
      <c r="K306" s="3" t="str">
        <f t="shared" si="23"/>
        <v/>
      </c>
      <c r="L306" s="9" t="str">
        <f t="shared" si="24"/>
        <v/>
      </c>
      <c r="N306" s="3">
        <v>1</v>
      </c>
      <c r="O306" s="15">
        <v>25</v>
      </c>
    </row>
    <row r="307" spans="1:15" x14ac:dyDescent="0.25">
      <c r="A307" t="s">
        <v>80</v>
      </c>
      <c r="B307" s="3" t="s">
        <v>33</v>
      </c>
      <c r="C307" s="3" t="s">
        <v>9</v>
      </c>
      <c r="D307" s="4">
        <v>2</v>
      </c>
      <c r="E307" s="11">
        <v>0.7</v>
      </c>
      <c r="F307" s="9">
        <f t="shared" si="20"/>
        <v>1.4</v>
      </c>
      <c r="G307" s="3" t="str">
        <f t="shared" si="21"/>
        <v/>
      </c>
      <c r="H307" s="3">
        <v>0</v>
      </c>
      <c r="I307" s="3">
        <v>0</v>
      </c>
      <c r="J307" s="3" t="str">
        <f t="shared" si="22"/>
        <v/>
      </c>
      <c r="K307" s="3" t="str">
        <f t="shared" si="23"/>
        <v/>
      </c>
      <c r="L307" s="9" t="str">
        <f t="shared" si="24"/>
        <v/>
      </c>
      <c r="N307" s="3">
        <v>1</v>
      </c>
      <c r="O307" s="15">
        <v>4</v>
      </c>
    </row>
    <row r="308" spans="1:15" x14ac:dyDescent="0.25">
      <c r="A308" s="2" t="s">
        <v>81</v>
      </c>
      <c r="B308" s="3" t="s">
        <v>33</v>
      </c>
      <c r="C308" s="3" t="s">
        <v>9</v>
      </c>
      <c r="D308" s="4">
        <v>0</v>
      </c>
      <c r="E308" s="11">
        <v>1.75</v>
      </c>
      <c r="F308" s="9">
        <f t="shared" si="20"/>
        <v>0</v>
      </c>
      <c r="G308" s="3" t="str">
        <f t="shared" si="21"/>
        <v/>
      </c>
      <c r="H308" s="3">
        <v>0</v>
      </c>
      <c r="I308" s="3">
        <v>0</v>
      </c>
      <c r="J308" s="3" t="str">
        <f t="shared" si="22"/>
        <v/>
      </c>
      <c r="K308" s="3" t="str">
        <f t="shared" si="23"/>
        <v/>
      </c>
      <c r="L308" s="9" t="str">
        <f t="shared" si="24"/>
        <v/>
      </c>
      <c r="N308" s="3"/>
      <c r="O308" s="15">
        <v>0</v>
      </c>
    </row>
    <row r="309" spans="1:15" x14ac:dyDescent="0.25">
      <c r="A309" s="2" t="s">
        <v>347</v>
      </c>
      <c r="B309" s="3" t="s">
        <v>33</v>
      </c>
      <c r="C309" s="3" t="s">
        <v>9</v>
      </c>
      <c r="D309" s="4">
        <v>1</v>
      </c>
      <c r="E309" s="11">
        <v>10</v>
      </c>
      <c r="F309" s="9">
        <f t="shared" si="20"/>
        <v>10</v>
      </c>
      <c r="G309" s="3" t="str">
        <f t="shared" si="21"/>
        <v/>
      </c>
      <c r="H309" s="3">
        <v>0</v>
      </c>
      <c r="I309" s="3">
        <v>0</v>
      </c>
      <c r="J309" s="3" t="str">
        <f t="shared" si="22"/>
        <v/>
      </c>
      <c r="K309" s="3" t="str">
        <f t="shared" si="23"/>
        <v/>
      </c>
      <c r="L309" s="9" t="str">
        <f t="shared" si="24"/>
        <v/>
      </c>
      <c r="N309" s="3"/>
      <c r="O309" s="15">
        <v>1</v>
      </c>
    </row>
    <row r="310" spans="1:15" x14ac:dyDescent="0.25">
      <c r="A310" t="s">
        <v>348</v>
      </c>
      <c r="B310" s="3" t="s">
        <v>10</v>
      </c>
      <c r="C310" s="3" t="s">
        <v>9</v>
      </c>
      <c r="D310" s="4">
        <v>2</v>
      </c>
      <c r="E310" s="11">
        <v>10.43</v>
      </c>
      <c r="F310" s="9">
        <f t="shared" si="20"/>
        <v>20.86</v>
      </c>
      <c r="G310" s="3" t="str">
        <f t="shared" si="21"/>
        <v/>
      </c>
      <c r="J310" s="3" t="str">
        <f t="shared" si="22"/>
        <v/>
      </c>
      <c r="K310" s="3" t="str">
        <f t="shared" si="23"/>
        <v/>
      </c>
      <c r="L310" s="9" t="str">
        <f t="shared" si="24"/>
        <v/>
      </c>
      <c r="M310" s="3">
        <v>1</v>
      </c>
      <c r="N310" s="3"/>
      <c r="O310" s="15">
        <v>0</v>
      </c>
    </row>
    <row r="311" spans="1:15" x14ac:dyDescent="0.25">
      <c r="A311" s="2" t="s">
        <v>349</v>
      </c>
      <c r="B311" s="3" t="s">
        <v>33</v>
      </c>
      <c r="C311" s="3" t="s">
        <v>9</v>
      </c>
      <c r="D311" s="4">
        <v>1</v>
      </c>
      <c r="E311" s="11">
        <v>17.5</v>
      </c>
      <c r="F311" s="9">
        <f t="shared" si="20"/>
        <v>17.5</v>
      </c>
      <c r="G311" s="3" t="str">
        <f t="shared" si="21"/>
        <v/>
      </c>
      <c r="H311" s="3">
        <v>0</v>
      </c>
      <c r="I311" s="3">
        <v>0</v>
      </c>
      <c r="J311" s="3" t="str">
        <f t="shared" si="22"/>
        <v/>
      </c>
      <c r="K311" s="3" t="str">
        <f t="shared" si="23"/>
        <v/>
      </c>
      <c r="L311" s="9" t="str">
        <f t="shared" si="24"/>
        <v/>
      </c>
      <c r="N311" s="3"/>
      <c r="O311" s="15">
        <v>1</v>
      </c>
    </row>
    <row r="312" spans="1:15" x14ac:dyDescent="0.25">
      <c r="A312" t="s">
        <v>350</v>
      </c>
      <c r="B312" s="3" t="s">
        <v>351</v>
      </c>
      <c r="C312" s="3" t="s">
        <v>9</v>
      </c>
      <c r="D312" s="4">
        <v>2</v>
      </c>
      <c r="E312" s="11">
        <v>11</v>
      </c>
      <c r="F312" s="9">
        <f t="shared" si="20"/>
        <v>22</v>
      </c>
      <c r="G312" s="3" t="str">
        <f t="shared" si="21"/>
        <v/>
      </c>
      <c r="J312" s="3" t="str">
        <f t="shared" si="22"/>
        <v/>
      </c>
      <c r="K312" s="3" t="str">
        <f t="shared" si="23"/>
        <v/>
      </c>
      <c r="L312" s="9" t="str">
        <f t="shared" si="24"/>
        <v/>
      </c>
      <c r="M312" s="3">
        <v>1</v>
      </c>
      <c r="N312" s="3"/>
      <c r="O312" s="15">
        <v>0</v>
      </c>
    </row>
    <row r="313" spans="1:15" x14ac:dyDescent="0.25">
      <c r="A313" t="s">
        <v>352</v>
      </c>
      <c r="B313" s="3" t="s">
        <v>351</v>
      </c>
      <c r="C313" s="3" t="s">
        <v>9</v>
      </c>
      <c r="D313" s="4">
        <v>2</v>
      </c>
      <c r="E313" s="11">
        <v>16</v>
      </c>
      <c r="F313" s="9">
        <f t="shared" si="20"/>
        <v>32</v>
      </c>
      <c r="G313" s="3" t="str">
        <f t="shared" si="21"/>
        <v/>
      </c>
      <c r="J313" s="3" t="str">
        <f t="shared" si="22"/>
        <v/>
      </c>
      <c r="K313" s="3" t="str">
        <f t="shared" si="23"/>
        <v/>
      </c>
      <c r="L313" s="9" t="str">
        <f t="shared" si="24"/>
        <v/>
      </c>
      <c r="M313" s="3">
        <v>1</v>
      </c>
      <c r="N313" s="3"/>
      <c r="O313" s="15">
        <v>0</v>
      </c>
    </row>
    <row r="314" spans="1:15" x14ac:dyDescent="0.25">
      <c r="A314" t="s">
        <v>353</v>
      </c>
      <c r="B314" s="3" t="s">
        <v>33</v>
      </c>
      <c r="C314" s="3" t="s">
        <v>9</v>
      </c>
      <c r="D314" s="4">
        <v>20</v>
      </c>
      <c r="E314" s="11">
        <v>0.43</v>
      </c>
      <c r="F314" s="9">
        <f t="shared" si="20"/>
        <v>8.6</v>
      </c>
      <c r="G314" s="3" t="str">
        <f t="shared" si="21"/>
        <v/>
      </c>
      <c r="J314" s="3" t="str">
        <f t="shared" si="22"/>
        <v/>
      </c>
      <c r="K314" s="3" t="str">
        <f t="shared" si="23"/>
        <v/>
      </c>
      <c r="L314" s="9" t="str">
        <f t="shared" si="24"/>
        <v/>
      </c>
      <c r="M314" s="3">
        <v>1</v>
      </c>
      <c r="N314" s="3"/>
      <c r="O314" s="15">
        <v>0</v>
      </c>
    </row>
    <row r="315" spans="1:15" x14ac:dyDescent="0.25">
      <c r="A315" t="s">
        <v>354</v>
      </c>
      <c r="B315" s="3" t="s">
        <v>60</v>
      </c>
      <c r="C315" s="3" t="s">
        <v>9</v>
      </c>
      <c r="D315" s="4">
        <v>12.5</v>
      </c>
      <c r="E315" s="11">
        <v>86.85</v>
      </c>
      <c r="F315" s="9">
        <f t="shared" si="20"/>
        <v>1085.625</v>
      </c>
      <c r="G315" s="3" t="str">
        <f t="shared" si="21"/>
        <v/>
      </c>
      <c r="H315" s="3">
        <v>0</v>
      </c>
      <c r="I315" s="3">
        <v>0</v>
      </c>
      <c r="J315" s="3" t="str">
        <f t="shared" si="22"/>
        <v/>
      </c>
      <c r="K315" s="3" t="str">
        <f t="shared" si="23"/>
        <v/>
      </c>
      <c r="L315" s="9" t="str">
        <f t="shared" si="24"/>
        <v/>
      </c>
      <c r="N315" s="3">
        <v>11</v>
      </c>
      <c r="O315" s="15">
        <v>25</v>
      </c>
    </row>
    <row r="316" spans="1:15" x14ac:dyDescent="0.25">
      <c r="A316" t="s">
        <v>355</v>
      </c>
      <c r="B316" s="3" t="s">
        <v>60</v>
      </c>
      <c r="C316" s="3" t="s">
        <v>9</v>
      </c>
      <c r="D316" s="4">
        <v>2</v>
      </c>
      <c r="E316" s="11">
        <v>2.34</v>
      </c>
      <c r="F316" s="9">
        <f t="shared" si="20"/>
        <v>4.68</v>
      </c>
      <c r="G316" s="3" t="str">
        <f t="shared" si="21"/>
        <v/>
      </c>
      <c r="J316" s="3" t="str">
        <f t="shared" si="22"/>
        <v/>
      </c>
      <c r="K316" s="3" t="str">
        <f t="shared" si="23"/>
        <v/>
      </c>
      <c r="L316" s="9" t="str">
        <f t="shared" si="24"/>
        <v/>
      </c>
      <c r="M316" s="3">
        <v>1</v>
      </c>
      <c r="N316" s="3"/>
      <c r="O316" s="15">
        <v>0</v>
      </c>
    </row>
    <row r="317" spans="1:15" x14ac:dyDescent="0.25">
      <c r="A317" t="s">
        <v>356</v>
      </c>
      <c r="B317" s="3" t="s">
        <v>60</v>
      </c>
      <c r="C317" s="3" t="s">
        <v>9</v>
      </c>
      <c r="D317" s="4">
        <v>1</v>
      </c>
      <c r="E317" s="11">
        <v>2.48</v>
      </c>
      <c r="F317" s="9">
        <f t="shared" si="20"/>
        <v>2.48</v>
      </c>
      <c r="G317" s="3" t="str">
        <f t="shared" si="21"/>
        <v/>
      </c>
      <c r="J317" s="3" t="str">
        <f t="shared" si="22"/>
        <v/>
      </c>
      <c r="K317" s="3" t="str">
        <f t="shared" si="23"/>
        <v/>
      </c>
      <c r="L317" s="9" t="str">
        <f t="shared" si="24"/>
        <v/>
      </c>
      <c r="M317" s="3">
        <v>1</v>
      </c>
      <c r="N317" s="3"/>
      <c r="O317" s="15">
        <v>0</v>
      </c>
    </row>
    <row r="318" spans="1:15" x14ac:dyDescent="0.25">
      <c r="A318" t="s">
        <v>357</v>
      </c>
      <c r="B318" s="3" t="s">
        <v>33</v>
      </c>
      <c r="C318" s="3" t="s">
        <v>9</v>
      </c>
      <c r="D318" s="4">
        <v>0</v>
      </c>
      <c r="E318" s="11">
        <v>50</v>
      </c>
      <c r="F318" s="9">
        <f t="shared" si="20"/>
        <v>0</v>
      </c>
      <c r="G318" s="3" t="str">
        <f t="shared" si="21"/>
        <v/>
      </c>
      <c r="J318" s="3" t="str">
        <f t="shared" si="22"/>
        <v/>
      </c>
      <c r="K318" s="3" t="str">
        <f t="shared" si="23"/>
        <v/>
      </c>
      <c r="L318" s="9" t="str">
        <f t="shared" si="24"/>
        <v/>
      </c>
      <c r="M318" s="3">
        <v>1</v>
      </c>
      <c r="N318" s="3">
        <v>1</v>
      </c>
      <c r="O318" s="15">
        <v>0</v>
      </c>
    </row>
    <row r="319" spans="1:15" x14ac:dyDescent="0.25">
      <c r="A319" t="s">
        <v>358</v>
      </c>
      <c r="B319" s="3" t="s">
        <v>33</v>
      </c>
      <c r="C319" s="3" t="s">
        <v>9</v>
      </c>
      <c r="D319" s="4">
        <v>0</v>
      </c>
      <c r="E319" s="11">
        <v>30</v>
      </c>
      <c r="F319" s="9">
        <f t="shared" si="20"/>
        <v>0</v>
      </c>
      <c r="G319" s="3" t="str">
        <f t="shared" si="21"/>
        <v/>
      </c>
      <c r="J319" s="3" t="str">
        <f t="shared" si="22"/>
        <v/>
      </c>
      <c r="K319" s="3" t="str">
        <f t="shared" si="23"/>
        <v/>
      </c>
      <c r="L319" s="9" t="str">
        <f t="shared" si="24"/>
        <v/>
      </c>
      <c r="M319" s="3">
        <v>1</v>
      </c>
      <c r="N319" s="3">
        <v>1</v>
      </c>
      <c r="O319" s="15">
        <v>0</v>
      </c>
    </row>
    <row r="320" spans="1:15" x14ac:dyDescent="0.25">
      <c r="A320" t="s">
        <v>359</v>
      </c>
      <c r="B320" s="3" t="s">
        <v>33</v>
      </c>
      <c r="C320" s="3" t="s">
        <v>9</v>
      </c>
      <c r="D320" s="4">
        <v>0</v>
      </c>
      <c r="E320" s="11">
        <v>0.5</v>
      </c>
      <c r="F320" s="9">
        <f t="shared" si="20"/>
        <v>0</v>
      </c>
      <c r="G320" s="3" t="str">
        <f t="shared" si="21"/>
        <v/>
      </c>
      <c r="J320" s="3" t="str">
        <f t="shared" si="22"/>
        <v/>
      </c>
      <c r="K320" s="3" t="str">
        <f t="shared" si="23"/>
        <v/>
      </c>
      <c r="L320" s="9" t="str">
        <f t="shared" si="24"/>
        <v/>
      </c>
      <c r="M320" s="3">
        <v>1</v>
      </c>
      <c r="N320" s="3">
        <v>1</v>
      </c>
      <c r="O320" s="15">
        <v>0</v>
      </c>
    </row>
    <row r="321" spans="1:15" x14ac:dyDescent="0.25">
      <c r="A321" t="s">
        <v>360</v>
      </c>
      <c r="B321" s="3" t="s">
        <v>33</v>
      </c>
      <c r="C321" s="3" t="s">
        <v>9</v>
      </c>
      <c r="D321" s="4">
        <v>0</v>
      </c>
      <c r="E321" s="11">
        <v>5</v>
      </c>
      <c r="F321" s="9">
        <f t="shared" si="20"/>
        <v>0</v>
      </c>
      <c r="G321" s="3" t="str">
        <f t="shared" si="21"/>
        <v/>
      </c>
      <c r="J321" s="3" t="str">
        <f t="shared" si="22"/>
        <v/>
      </c>
      <c r="K321" s="3" t="str">
        <f t="shared" si="23"/>
        <v/>
      </c>
      <c r="L321" s="9" t="str">
        <f t="shared" si="24"/>
        <v/>
      </c>
      <c r="M321" s="3">
        <v>1</v>
      </c>
      <c r="N321" s="3">
        <v>1</v>
      </c>
      <c r="O321" s="15">
        <v>0</v>
      </c>
    </row>
    <row r="322" spans="1:15" x14ac:dyDescent="0.25">
      <c r="A322" t="s">
        <v>361</v>
      </c>
      <c r="B322" s="3" t="s">
        <v>33</v>
      </c>
      <c r="C322" s="3" t="s">
        <v>9</v>
      </c>
      <c r="D322" s="4">
        <v>60050</v>
      </c>
      <c r="E322" s="11">
        <v>3.5000000000000003E-2</v>
      </c>
      <c r="F322" s="9">
        <f t="shared" ref="F322:F384" si="25">SUM(D322*E322)</f>
        <v>2101.75</v>
      </c>
      <c r="G322" s="3" t="str">
        <f t="shared" ref="G322:G358" si="26">IF(E322=0,"BLOCK","")</f>
        <v/>
      </c>
      <c r="J322" s="3" t="str">
        <f t="shared" ref="J322:J384" si="27">IF(H322=0,"",IF(D322&lt;=H322,"1",""))</f>
        <v/>
      </c>
      <c r="K322" s="3" t="str">
        <f t="shared" ref="K322:K384" si="28">IF(J322="","",I322-D322)</f>
        <v/>
      </c>
      <c r="L322" s="9" t="str">
        <f t="shared" ref="L322:L384" si="29">IF(J322="1",(I322-D322)*E322,"")</f>
        <v/>
      </c>
      <c r="M322" s="3">
        <v>2</v>
      </c>
      <c r="N322" s="3"/>
      <c r="O322" s="15">
        <v>0</v>
      </c>
    </row>
    <row r="323" spans="1:15" x14ac:dyDescent="0.25">
      <c r="A323" t="s">
        <v>82</v>
      </c>
      <c r="B323" s="3" t="s">
        <v>83</v>
      </c>
      <c r="C323" s="3" t="s">
        <v>84</v>
      </c>
      <c r="D323" s="18">
        <v>36.5</v>
      </c>
      <c r="E323" s="11">
        <v>32.25</v>
      </c>
      <c r="F323" s="9">
        <f t="shared" si="25"/>
        <v>1177.125</v>
      </c>
      <c r="G323" s="3" t="str">
        <f t="shared" si="26"/>
        <v/>
      </c>
      <c r="H323" s="3">
        <v>0</v>
      </c>
      <c r="I323" s="3">
        <v>0</v>
      </c>
      <c r="J323" s="3" t="str">
        <f t="shared" si="27"/>
        <v/>
      </c>
      <c r="K323" s="3" t="str">
        <f t="shared" si="28"/>
        <v/>
      </c>
      <c r="L323" s="9" t="str">
        <f t="shared" si="29"/>
        <v/>
      </c>
      <c r="M323" s="3">
        <v>2</v>
      </c>
      <c r="N323" s="3">
        <v>18</v>
      </c>
      <c r="O323" s="16">
        <v>38</v>
      </c>
    </row>
    <row r="324" spans="1:15" x14ac:dyDescent="0.25">
      <c r="A324" t="s">
        <v>85</v>
      </c>
      <c r="B324" s="3" t="s">
        <v>362</v>
      </c>
      <c r="C324" s="3" t="s">
        <v>84</v>
      </c>
      <c r="D324" s="18">
        <v>14</v>
      </c>
      <c r="E324" s="11">
        <v>19</v>
      </c>
      <c r="F324" s="9">
        <f t="shared" si="25"/>
        <v>266</v>
      </c>
      <c r="G324" s="3" t="str">
        <f t="shared" si="26"/>
        <v/>
      </c>
      <c r="H324" s="3">
        <v>0</v>
      </c>
      <c r="I324" s="3">
        <v>0</v>
      </c>
      <c r="J324" s="3" t="str">
        <f t="shared" si="27"/>
        <v/>
      </c>
      <c r="K324" s="3" t="str">
        <f t="shared" si="28"/>
        <v/>
      </c>
      <c r="L324" s="9" t="str">
        <f t="shared" si="29"/>
        <v/>
      </c>
      <c r="M324" s="3">
        <v>1</v>
      </c>
      <c r="N324" s="3">
        <v>8</v>
      </c>
      <c r="O324" s="16">
        <v>229</v>
      </c>
    </row>
    <row r="325" spans="1:15" x14ac:dyDescent="0.25">
      <c r="A325" t="s">
        <v>490</v>
      </c>
      <c r="B325" s="3" t="s">
        <v>83</v>
      </c>
      <c r="C325" s="3" t="s">
        <v>84</v>
      </c>
      <c r="D325" s="4">
        <v>129</v>
      </c>
      <c r="E325" s="11">
        <v>46</v>
      </c>
      <c r="F325" s="9">
        <f t="shared" si="25"/>
        <v>5934</v>
      </c>
      <c r="G325" s="3" t="str">
        <f t="shared" si="26"/>
        <v/>
      </c>
      <c r="J325" s="3" t="str">
        <f t="shared" si="27"/>
        <v/>
      </c>
      <c r="K325" s="3" t="str">
        <f t="shared" si="28"/>
        <v/>
      </c>
      <c r="L325" s="9" t="str">
        <f t="shared" si="29"/>
        <v/>
      </c>
      <c r="M325" s="3">
        <v>2</v>
      </c>
      <c r="N325" s="3">
        <v>3</v>
      </c>
      <c r="O325" s="15">
        <v>0</v>
      </c>
    </row>
    <row r="326" spans="1:15" x14ac:dyDescent="0.25">
      <c r="A326" s="2" t="s">
        <v>363</v>
      </c>
      <c r="B326" s="3" t="s">
        <v>33</v>
      </c>
      <c r="C326" s="3" t="s">
        <v>84</v>
      </c>
      <c r="D326" s="4">
        <v>-63</v>
      </c>
      <c r="E326" s="11">
        <v>5.5</v>
      </c>
      <c r="F326" s="9">
        <f t="shared" si="25"/>
        <v>-346.5</v>
      </c>
      <c r="G326" s="3" t="str">
        <f t="shared" si="26"/>
        <v/>
      </c>
      <c r="H326" s="3">
        <v>0</v>
      </c>
      <c r="I326" s="3">
        <v>0</v>
      </c>
      <c r="J326" s="3" t="str">
        <f t="shared" si="27"/>
        <v/>
      </c>
      <c r="K326" s="3" t="str">
        <f t="shared" si="28"/>
        <v/>
      </c>
      <c r="L326" s="9" t="str">
        <f t="shared" si="29"/>
        <v/>
      </c>
      <c r="N326" s="3">
        <v>3</v>
      </c>
      <c r="O326" s="15">
        <v>10</v>
      </c>
    </row>
    <row r="327" spans="1:15" x14ac:dyDescent="0.25">
      <c r="A327" t="s">
        <v>86</v>
      </c>
      <c r="B327" s="3" t="s">
        <v>83</v>
      </c>
      <c r="C327" s="3" t="s">
        <v>84</v>
      </c>
      <c r="D327" s="18">
        <v>18</v>
      </c>
      <c r="E327" s="11">
        <v>36</v>
      </c>
      <c r="F327" s="9">
        <f t="shared" si="25"/>
        <v>648</v>
      </c>
      <c r="G327" s="3" t="str">
        <f t="shared" si="26"/>
        <v/>
      </c>
      <c r="H327" s="3">
        <v>0</v>
      </c>
      <c r="I327" s="3">
        <v>0</v>
      </c>
      <c r="J327" s="3" t="str">
        <f t="shared" si="27"/>
        <v/>
      </c>
      <c r="K327" s="3" t="str">
        <f t="shared" si="28"/>
        <v/>
      </c>
      <c r="L327" s="9" t="str">
        <f t="shared" si="29"/>
        <v/>
      </c>
      <c r="N327" s="3"/>
      <c r="O327" s="16">
        <v>18</v>
      </c>
    </row>
    <row r="328" spans="1:15" x14ac:dyDescent="0.25">
      <c r="A328" t="s">
        <v>87</v>
      </c>
      <c r="B328" s="3" t="s">
        <v>83</v>
      </c>
      <c r="C328" s="3" t="s">
        <v>84</v>
      </c>
      <c r="D328" s="18">
        <v>-43.5</v>
      </c>
      <c r="E328" s="11">
        <v>42.25</v>
      </c>
      <c r="F328" s="9">
        <f t="shared" si="25"/>
        <v>-1837.875</v>
      </c>
      <c r="G328" s="3" t="str">
        <f t="shared" si="26"/>
        <v/>
      </c>
      <c r="H328" s="3">
        <v>0</v>
      </c>
      <c r="I328" s="3">
        <v>0</v>
      </c>
      <c r="J328" s="3" t="str">
        <f t="shared" si="27"/>
        <v/>
      </c>
      <c r="K328" s="3" t="str">
        <f t="shared" si="28"/>
        <v/>
      </c>
      <c r="L328" s="9" t="str">
        <f t="shared" si="29"/>
        <v/>
      </c>
      <c r="M328" s="3">
        <v>3</v>
      </c>
      <c r="N328" s="3">
        <v>24</v>
      </c>
      <c r="O328" s="16">
        <v>440</v>
      </c>
    </row>
    <row r="329" spans="1:15" x14ac:dyDescent="0.25">
      <c r="A329" t="s">
        <v>88</v>
      </c>
      <c r="B329" s="3" t="s">
        <v>83</v>
      </c>
      <c r="C329" s="3" t="s">
        <v>84</v>
      </c>
      <c r="D329" s="18">
        <v>4.5</v>
      </c>
      <c r="E329" s="11">
        <v>43.75</v>
      </c>
      <c r="F329" s="9">
        <f t="shared" si="25"/>
        <v>196.875</v>
      </c>
      <c r="G329" s="3" t="str">
        <f t="shared" si="26"/>
        <v/>
      </c>
      <c r="H329" s="3">
        <v>0</v>
      </c>
      <c r="I329" s="3">
        <v>0</v>
      </c>
      <c r="J329" s="3" t="str">
        <f t="shared" si="27"/>
        <v/>
      </c>
      <c r="K329" s="3" t="str">
        <f t="shared" si="28"/>
        <v/>
      </c>
      <c r="L329" s="9" t="str">
        <f t="shared" si="29"/>
        <v/>
      </c>
      <c r="M329" s="3">
        <v>1</v>
      </c>
      <c r="N329" s="3">
        <v>7</v>
      </c>
      <c r="O329" s="16">
        <v>180</v>
      </c>
    </row>
    <row r="330" spans="1:15" x14ac:dyDescent="0.25">
      <c r="A330" t="s">
        <v>89</v>
      </c>
      <c r="B330" s="3" t="s">
        <v>33</v>
      </c>
      <c r="C330" s="3" t="s">
        <v>9</v>
      </c>
      <c r="D330" s="18">
        <v>1</v>
      </c>
      <c r="E330" s="11">
        <v>43</v>
      </c>
      <c r="F330" s="9">
        <f t="shared" si="25"/>
        <v>43</v>
      </c>
      <c r="G330" s="3" t="str">
        <f t="shared" si="26"/>
        <v/>
      </c>
      <c r="H330" s="3">
        <v>0</v>
      </c>
      <c r="I330" s="3">
        <v>0</v>
      </c>
      <c r="J330" s="3" t="str">
        <f t="shared" si="27"/>
        <v/>
      </c>
      <c r="K330" s="3" t="str">
        <f t="shared" si="28"/>
        <v/>
      </c>
      <c r="L330" s="9" t="str">
        <f t="shared" si="29"/>
        <v/>
      </c>
      <c r="N330" s="3"/>
      <c r="O330" s="16">
        <v>1</v>
      </c>
    </row>
    <row r="331" spans="1:15" x14ac:dyDescent="0.25">
      <c r="A331" t="s">
        <v>90</v>
      </c>
      <c r="B331" s="3" t="s">
        <v>33</v>
      </c>
      <c r="C331" s="3" t="s">
        <v>9</v>
      </c>
      <c r="D331" s="18">
        <v>1</v>
      </c>
      <c r="E331" s="11">
        <v>10.72</v>
      </c>
      <c r="F331" s="9">
        <f t="shared" si="25"/>
        <v>10.72</v>
      </c>
      <c r="G331" s="3" t="str">
        <f t="shared" si="26"/>
        <v/>
      </c>
      <c r="H331" s="3">
        <v>0</v>
      </c>
      <c r="I331" s="3">
        <v>0</v>
      </c>
      <c r="J331" s="3" t="str">
        <f t="shared" si="27"/>
        <v/>
      </c>
      <c r="K331" s="3" t="str">
        <f t="shared" si="28"/>
        <v/>
      </c>
      <c r="L331" s="9" t="str">
        <f t="shared" si="29"/>
        <v/>
      </c>
      <c r="N331" s="3"/>
      <c r="O331" s="16">
        <v>1</v>
      </c>
    </row>
    <row r="332" spans="1:15" x14ac:dyDescent="0.25">
      <c r="A332" t="s">
        <v>91</v>
      </c>
      <c r="B332" s="3" t="s">
        <v>33</v>
      </c>
      <c r="C332" s="3" t="s">
        <v>9</v>
      </c>
      <c r="D332" s="18">
        <v>2</v>
      </c>
      <c r="E332" s="11">
        <v>31.52</v>
      </c>
      <c r="F332" s="9">
        <f t="shared" si="25"/>
        <v>63.04</v>
      </c>
      <c r="G332" s="3" t="str">
        <f t="shared" si="26"/>
        <v/>
      </c>
      <c r="H332" s="3">
        <v>0</v>
      </c>
      <c r="I332" s="3">
        <v>0</v>
      </c>
      <c r="J332" s="3" t="str">
        <f t="shared" si="27"/>
        <v/>
      </c>
      <c r="K332" s="3" t="str">
        <f t="shared" si="28"/>
        <v/>
      </c>
      <c r="L332" s="9" t="str">
        <f t="shared" si="29"/>
        <v/>
      </c>
      <c r="N332" s="3"/>
      <c r="O332" s="16">
        <v>2</v>
      </c>
    </row>
    <row r="333" spans="1:15" x14ac:dyDescent="0.25">
      <c r="A333" t="s">
        <v>92</v>
      </c>
      <c r="B333" s="3" t="s">
        <v>33</v>
      </c>
      <c r="C333" s="3" t="s">
        <v>9</v>
      </c>
      <c r="D333" s="18">
        <v>1</v>
      </c>
      <c r="E333" s="11">
        <v>10.86</v>
      </c>
      <c r="F333" s="9">
        <f t="shared" si="25"/>
        <v>10.86</v>
      </c>
      <c r="G333" s="3" t="str">
        <f t="shared" si="26"/>
        <v/>
      </c>
      <c r="H333" s="3">
        <v>0</v>
      </c>
      <c r="I333" s="3">
        <v>0</v>
      </c>
      <c r="J333" s="3" t="str">
        <f t="shared" si="27"/>
        <v/>
      </c>
      <c r="K333" s="3" t="str">
        <f t="shared" si="28"/>
        <v/>
      </c>
      <c r="L333" s="9" t="str">
        <f t="shared" si="29"/>
        <v/>
      </c>
      <c r="N333" s="3"/>
      <c r="O333" s="16">
        <v>1</v>
      </c>
    </row>
    <row r="334" spans="1:15" x14ac:dyDescent="0.25">
      <c r="A334" t="s">
        <v>93</v>
      </c>
      <c r="B334" s="3" t="s">
        <v>33</v>
      </c>
      <c r="C334" s="3" t="s">
        <v>9</v>
      </c>
      <c r="D334" s="18">
        <v>1</v>
      </c>
      <c r="E334" s="11">
        <v>19.09</v>
      </c>
      <c r="F334" s="9">
        <f t="shared" si="25"/>
        <v>19.09</v>
      </c>
      <c r="G334" s="3" t="str">
        <f t="shared" si="26"/>
        <v/>
      </c>
      <c r="H334" s="3">
        <v>0</v>
      </c>
      <c r="I334" s="3">
        <v>0</v>
      </c>
      <c r="J334" s="3" t="str">
        <f t="shared" si="27"/>
        <v/>
      </c>
      <c r="K334" s="3" t="str">
        <f t="shared" si="28"/>
        <v/>
      </c>
      <c r="L334" s="9" t="str">
        <f t="shared" si="29"/>
        <v/>
      </c>
      <c r="N334" s="3"/>
      <c r="O334" s="16">
        <v>1</v>
      </c>
    </row>
    <row r="335" spans="1:15" x14ac:dyDescent="0.25">
      <c r="A335" t="s">
        <v>94</v>
      </c>
      <c r="B335" s="3" t="s">
        <v>33</v>
      </c>
      <c r="C335" s="3" t="s">
        <v>9</v>
      </c>
      <c r="D335" s="18">
        <v>1</v>
      </c>
      <c r="E335" s="11">
        <v>12.64</v>
      </c>
      <c r="F335" s="9">
        <f t="shared" si="25"/>
        <v>12.64</v>
      </c>
      <c r="G335" s="3" t="str">
        <f t="shared" si="26"/>
        <v/>
      </c>
      <c r="H335" s="3">
        <v>0</v>
      </c>
      <c r="I335" s="3">
        <v>0</v>
      </c>
      <c r="J335" s="3" t="str">
        <f t="shared" si="27"/>
        <v/>
      </c>
      <c r="K335" s="3" t="str">
        <f t="shared" si="28"/>
        <v/>
      </c>
      <c r="L335" s="9" t="str">
        <f t="shared" si="29"/>
        <v/>
      </c>
      <c r="N335" s="3"/>
      <c r="O335" s="16">
        <v>1</v>
      </c>
    </row>
    <row r="336" spans="1:15" x14ac:dyDescent="0.25">
      <c r="A336" t="s">
        <v>364</v>
      </c>
      <c r="B336" s="3" t="s">
        <v>33</v>
      </c>
      <c r="C336" s="3" t="s">
        <v>9</v>
      </c>
      <c r="D336" s="4">
        <v>1</v>
      </c>
      <c r="E336" s="11">
        <v>27.84</v>
      </c>
      <c r="F336" s="9">
        <f t="shared" si="25"/>
        <v>27.84</v>
      </c>
      <c r="G336" s="3" t="str">
        <f t="shared" si="26"/>
        <v/>
      </c>
      <c r="J336" s="3" t="str">
        <f t="shared" si="27"/>
        <v/>
      </c>
      <c r="K336" s="3" t="str">
        <f t="shared" si="28"/>
        <v/>
      </c>
      <c r="L336" s="9" t="str">
        <f t="shared" si="29"/>
        <v/>
      </c>
      <c r="M336" s="3">
        <v>1</v>
      </c>
      <c r="N336" s="3"/>
      <c r="O336" s="15">
        <v>0</v>
      </c>
    </row>
    <row r="337" spans="1:15" x14ac:dyDescent="0.25">
      <c r="A337" t="s">
        <v>365</v>
      </c>
      <c r="B337" s="3" t="s">
        <v>33</v>
      </c>
      <c r="C337" s="3" t="s">
        <v>9</v>
      </c>
      <c r="D337" s="4">
        <v>1</v>
      </c>
      <c r="E337" s="11">
        <v>43.48</v>
      </c>
      <c r="F337" s="9">
        <f t="shared" si="25"/>
        <v>43.48</v>
      </c>
      <c r="G337" s="3" t="str">
        <f t="shared" si="26"/>
        <v/>
      </c>
      <c r="J337" s="3" t="str">
        <f t="shared" si="27"/>
        <v/>
      </c>
      <c r="K337" s="3" t="str">
        <f t="shared" si="28"/>
        <v/>
      </c>
      <c r="L337" s="9" t="str">
        <f t="shared" si="29"/>
        <v/>
      </c>
      <c r="M337" s="3">
        <v>1</v>
      </c>
      <c r="N337" s="3"/>
      <c r="O337" s="15">
        <v>0</v>
      </c>
    </row>
    <row r="338" spans="1:15" x14ac:dyDescent="0.25">
      <c r="A338" t="s">
        <v>366</v>
      </c>
      <c r="B338" s="3" t="s">
        <v>33</v>
      </c>
      <c r="C338" s="3" t="s">
        <v>9</v>
      </c>
      <c r="D338" s="18">
        <v>3</v>
      </c>
      <c r="E338" s="11">
        <v>27.42</v>
      </c>
      <c r="F338" s="9">
        <f t="shared" si="25"/>
        <v>82.26</v>
      </c>
      <c r="G338" s="3" t="str">
        <f t="shared" si="26"/>
        <v/>
      </c>
      <c r="H338" s="3">
        <v>0</v>
      </c>
      <c r="I338" s="3">
        <v>0</v>
      </c>
      <c r="J338" s="3" t="str">
        <f t="shared" si="27"/>
        <v/>
      </c>
      <c r="K338" s="3" t="str">
        <f t="shared" si="28"/>
        <v/>
      </c>
      <c r="L338" s="9" t="str">
        <f t="shared" si="29"/>
        <v/>
      </c>
      <c r="N338" s="3">
        <v>1</v>
      </c>
      <c r="O338" s="16">
        <v>4</v>
      </c>
    </row>
    <row r="339" spans="1:15" x14ac:dyDescent="0.25">
      <c r="A339" t="s">
        <v>95</v>
      </c>
      <c r="B339" s="3" t="s">
        <v>33</v>
      </c>
      <c r="C339" s="3" t="s">
        <v>9</v>
      </c>
      <c r="D339" s="18">
        <v>2</v>
      </c>
      <c r="E339" s="11">
        <v>20.48</v>
      </c>
      <c r="F339" s="9">
        <f t="shared" si="25"/>
        <v>40.96</v>
      </c>
      <c r="G339" s="3" t="str">
        <f t="shared" si="26"/>
        <v/>
      </c>
      <c r="H339" s="3">
        <v>0</v>
      </c>
      <c r="I339" s="3">
        <v>0</v>
      </c>
      <c r="J339" s="3" t="str">
        <f t="shared" si="27"/>
        <v/>
      </c>
      <c r="K339" s="3" t="str">
        <f t="shared" si="28"/>
        <v/>
      </c>
      <c r="L339" s="9" t="str">
        <f t="shared" si="29"/>
        <v/>
      </c>
      <c r="N339" s="3">
        <v>1</v>
      </c>
      <c r="O339" s="16">
        <v>3</v>
      </c>
    </row>
    <row r="340" spans="1:15" x14ac:dyDescent="0.25">
      <c r="A340" t="s">
        <v>96</v>
      </c>
      <c r="B340" s="3" t="s">
        <v>33</v>
      </c>
      <c r="C340" s="3" t="s">
        <v>9</v>
      </c>
      <c r="D340" s="18">
        <v>2</v>
      </c>
      <c r="E340" s="11">
        <v>3.17</v>
      </c>
      <c r="F340" s="9">
        <f t="shared" si="25"/>
        <v>6.34</v>
      </c>
      <c r="G340" s="3" t="str">
        <f t="shared" si="26"/>
        <v/>
      </c>
      <c r="H340" s="3">
        <v>0</v>
      </c>
      <c r="I340" s="3">
        <v>0</v>
      </c>
      <c r="J340" s="3" t="str">
        <f t="shared" si="27"/>
        <v/>
      </c>
      <c r="K340" s="3" t="str">
        <f t="shared" si="28"/>
        <v/>
      </c>
      <c r="L340" s="9" t="str">
        <f t="shared" si="29"/>
        <v/>
      </c>
      <c r="N340" s="3"/>
      <c r="O340" s="16">
        <v>2</v>
      </c>
    </row>
    <row r="341" spans="1:15" x14ac:dyDescent="0.25">
      <c r="A341" t="s">
        <v>97</v>
      </c>
      <c r="B341" s="3" t="s">
        <v>33</v>
      </c>
      <c r="C341" s="3" t="s">
        <v>9</v>
      </c>
      <c r="D341" s="18">
        <v>5</v>
      </c>
      <c r="E341" s="11">
        <v>6.29</v>
      </c>
      <c r="F341" s="9">
        <f t="shared" si="25"/>
        <v>31.45</v>
      </c>
      <c r="G341" s="3" t="str">
        <f t="shared" si="26"/>
        <v/>
      </c>
      <c r="H341" s="3">
        <v>0</v>
      </c>
      <c r="I341" s="3">
        <v>0</v>
      </c>
      <c r="J341" s="3" t="str">
        <f t="shared" si="27"/>
        <v/>
      </c>
      <c r="K341" s="3" t="str">
        <f t="shared" si="28"/>
        <v/>
      </c>
      <c r="L341" s="9" t="str">
        <f t="shared" si="29"/>
        <v/>
      </c>
      <c r="N341" s="3"/>
      <c r="O341" s="16">
        <v>5</v>
      </c>
    </row>
    <row r="342" spans="1:15" x14ac:dyDescent="0.25">
      <c r="A342" t="s">
        <v>98</v>
      </c>
      <c r="B342" s="3" t="s">
        <v>33</v>
      </c>
      <c r="C342" s="3" t="s">
        <v>9</v>
      </c>
      <c r="D342" s="18">
        <v>3</v>
      </c>
      <c r="E342" s="11">
        <v>19.55</v>
      </c>
      <c r="F342" s="9">
        <f t="shared" si="25"/>
        <v>58.650000000000006</v>
      </c>
      <c r="G342" s="3" t="str">
        <f t="shared" si="26"/>
        <v/>
      </c>
      <c r="H342" s="3">
        <v>0</v>
      </c>
      <c r="I342" s="3">
        <v>0</v>
      </c>
      <c r="J342" s="3" t="str">
        <f t="shared" si="27"/>
        <v/>
      </c>
      <c r="K342" s="3" t="str">
        <f t="shared" si="28"/>
        <v/>
      </c>
      <c r="L342" s="9" t="str">
        <f t="shared" si="29"/>
        <v/>
      </c>
      <c r="N342" s="3"/>
      <c r="O342" s="16">
        <v>3</v>
      </c>
    </row>
    <row r="343" spans="1:15" x14ac:dyDescent="0.25">
      <c r="A343" t="s">
        <v>99</v>
      </c>
      <c r="B343" s="3" t="s">
        <v>33</v>
      </c>
      <c r="C343" s="3" t="s">
        <v>9</v>
      </c>
      <c r="D343" s="18">
        <v>9</v>
      </c>
      <c r="E343" s="11">
        <v>2.4911111111111115</v>
      </c>
      <c r="F343" s="9">
        <f t="shared" si="25"/>
        <v>22.42</v>
      </c>
      <c r="G343" s="3" t="str">
        <f t="shared" si="26"/>
        <v/>
      </c>
      <c r="H343" s="3">
        <v>0</v>
      </c>
      <c r="I343" s="3">
        <v>0</v>
      </c>
      <c r="J343" s="3" t="str">
        <f t="shared" si="27"/>
        <v/>
      </c>
      <c r="K343" s="3" t="str">
        <f t="shared" si="28"/>
        <v/>
      </c>
      <c r="L343" s="9" t="str">
        <f t="shared" si="29"/>
        <v/>
      </c>
      <c r="M343" s="3">
        <v>1</v>
      </c>
      <c r="N343" s="3"/>
      <c r="O343" s="16">
        <v>5</v>
      </c>
    </row>
    <row r="344" spans="1:15" x14ac:dyDescent="0.25">
      <c r="A344" t="s">
        <v>367</v>
      </c>
      <c r="B344" s="3" t="s">
        <v>33</v>
      </c>
      <c r="C344" s="3" t="s">
        <v>9</v>
      </c>
      <c r="D344" s="18">
        <v>5</v>
      </c>
      <c r="E344" s="11">
        <v>14.93</v>
      </c>
      <c r="F344" s="9">
        <f t="shared" si="25"/>
        <v>74.650000000000006</v>
      </c>
      <c r="G344" s="3" t="str">
        <f t="shared" si="26"/>
        <v/>
      </c>
      <c r="H344" s="3">
        <v>0</v>
      </c>
      <c r="I344" s="3">
        <v>0</v>
      </c>
      <c r="J344" s="3" t="str">
        <f t="shared" si="27"/>
        <v/>
      </c>
      <c r="K344" s="3" t="str">
        <f t="shared" si="28"/>
        <v/>
      </c>
      <c r="L344" s="9" t="str">
        <f t="shared" si="29"/>
        <v/>
      </c>
      <c r="N344" s="3"/>
      <c r="O344" s="16">
        <v>5</v>
      </c>
    </row>
    <row r="345" spans="1:15" x14ac:dyDescent="0.25">
      <c r="A345" t="s">
        <v>100</v>
      </c>
      <c r="B345" s="3" t="s">
        <v>33</v>
      </c>
      <c r="C345" s="3" t="s">
        <v>9</v>
      </c>
      <c r="D345" s="18">
        <v>3</v>
      </c>
      <c r="E345" s="11">
        <v>37.89</v>
      </c>
      <c r="F345" s="9">
        <f t="shared" si="25"/>
        <v>113.67</v>
      </c>
      <c r="G345" s="3" t="str">
        <f t="shared" si="26"/>
        <v/>
      </c>
      <c r="H345" s="3">
        <v>0</v>
      </c>
      <c r="I345" s="3">
        <v>0</v>
      </c>
      <c r="J345" s="3" t="str">
        <f t="shared" si="27"/>
        <v/>
      </c>
      <c r="K345" s="3" t="str">
        <f t="shared" si="28"/>
        <v/>
      </c>
      <c r="L345" s="9" t="str">
        <f t="shared" si="29"/>
        <v/>
      </c>
      <c r="N345" s="3"/>
      <c r="O345" s="16">
        <v>3</v>
      </c>
    </row>
    <row r="346" spans="1:15" x14ac:dyDescent="0.25">
      <c r="A346" t="s">
        <v>368</v>
      </c>
      <c r="B346" s="3" t="s">
        <v>33</v>
      </c>
      <c r="C346" s="3" t="s">
        <v>9</v>
      </c>
      <c r="D346" s="18">
        <v>0</v>
      </c>
      <c r="E346" s="11">
        <v>21.94</v>
      </c>
      <c r="F346" s="9">
        <f t="shared" si="25"/>
        <v>0</v>
      </c>
      <c r="G346" s="3" t="str">
        <f t="shared" si="26"/>
        <v/>
      </c>
      <c r="H346" s="3">
        <v>0</v>
      </c>
      <c r="I346" s="3">
        <v>0</v>
      </c>
      <c r="J346" s="3" t="str">
        <f t="shared" si="27"/>
        <v/>
      </c>
      <c r="K346" s="3" t="str">
        <f t="shared" si="28"/>
        <v/>
      </c>
      <c r="L346" s="9" t="str">
        <f t="shared" si="29"/>
        <v/>
      </c>
      <c r="N346" s="3">
        <v>1</v>
      </c>
      <c r="O346" s="16">
        <v>1</v>
      </c>
    </row>
    <row r="347" spans="1:15" x14ac:dyDescent="0.25">
      <c r="A347" t="s">
        <v>101</v>
      </c>
      <c r="B347" s="3" t="s">
        <v>33</v>
      </c>
      <c r="C347" s="3" t="s">
        <v>9</v>
      </c>
      <c r="D347" s="18">
        <v>4</v>
      </c>
      <c r="E347" s="11">
        <v>13.14</v>
      </c>
      <c r="F347" s="9">
        <f t="shared" si="25"/>
        <v>52.56</v>
      </c>
      <c r="G347" s="3" t="str">
        <f t="shared" si="26"/>
        <v/>
      </c>
      <c r="H347" s="3">
        <v>0</v>
      </c>
      <c r="I347" s="3">
        <v>0</v>
      </c>
      <c r="J347" s="3" t="str">
        <f t="shared" si="27"/>
        <v/>
      </c>
      <c r="K347" s="3" t="str">
        <f t="shared" si="28"/>
        <v/>
      </c>
      <c r="L347" s="9" t="str">
        <f t="shared" si="29"/>
        <v/>
      </c>
      <c r="N347" s="3">
        <v>1</v>
      </c>
      <c r="O347" s="16">
        <v>5</v>
      </c>
    </row>
    <row r="348" spans="1:15" x14ac:dyDescent="0.25">
      <c r="A348" t="s">
        <v>369</v>
      </c>
      <c r="B348" s="3" t="s">
        <v>33</v>
      </c>
      <c r="C348" s="3" t="s">
        <v>9</v>
      </c>
      <c r="D348" s="18">
        <v>2</v>
      </c>
      <c r="E348" s="11">
        <v>34.340000000000003</v>
      </c>
      <c r="F348" s="9">
        <f t="shared" si="25"/>
        <v>68.680000000000007</v>
      </c>
      <c r="G348" s="3" t="str">
        <f t="shared" si="26"/>
        <v/>
      </c>
      <c r="H348" s="3">
        <v>0</v>
      </c>
      <c r="I348" s="3">
        <v>0</v>
      </c>
      <c r="J348" s="3" t="str">
        <f t="shared" si="27"/>
        <v/>
      </c>
      <c r="K348" s="3" t="str">
        <f t="shared" si="28"/>
        <v/>
      </c>
      <c r="L348" s="9" t="str">
        <f t="shared" si="29"/>
        <v/>
      </c>
      <c r="N348" s="3">
        <v>2</v>
      </c>
      <c r="O348" s="16">
        <v>4</v>
      </c>
    </row>
    <row r="349" spans="1:15" x14ac:dyDescent="0.25">
      <c r="A349" t="s">
        <v>102</v>
      </c>
      <c r="B349" s="3" t="s">
        <v>33</v>
      </c>
      <c r="C349" s="3" t="s">
        <v>9</v>
      </c>
      <c r="D349" s="18">
        <v>2</v>
      </c>
      <c r="E349" s="11">
        <v>8.6</v>
      </c>
      <c r="F349" s="9">
        <f t="shared" si="25"/>
        <v>17.2</v>
      </c>
      <c r="G349" s="3" t="str">
        <f t="shared" si="26"/>
        <v/>
      </c>
      <c r="H349" s="3">
        <v>0</v>
      </c>
      <c r="I349" s="3">
        <v>0</v>
      </c>
      <c r="J349" s="3" t="str">
        <f t="shared" si="27"/>
        <v/>
      </c>
      <c r="K349" s="3" t="str">
        <f t="shared" si="28"/>
        <v/>
      </c>
      <c r="L349" s="9" t="str">
        <f t="shared" si="29"/>
        <v/>
      </c>
      <c r="N349" s="3"/>
      <c r="O349" s="16">
        <v>2</v>
      </c>
    </row>
    <row r="350" spans="1:15" x14ac:dyDescent="0.25">
      <c r="A350" t="s">
        <v>103</v>
      </c>
      <c r="B350" s="3" t="s">
        <v>33</v>
      </c>
      <c r="C350" s="3" t="s">
        <v>9</v>
      </c>
      <c r="D350" s="18">
        <v>1</v>
      </c>
      <c r="E350" s="11">
        <v>13.62</v>
      </c>
      <c r="F350" s="9">
        <f t="shared" si="25"/>
        <v>13.62</v>
      </c>
      <c r="G350" s="3" t="str">
        <f t="shared" si="26"/>
        <v/>
      </c>
      <c r="H350" s="3">
        <v>0</v>
      </c>
      <c r="I350" s="3">
        <v>0</v>
      </c>
      <c r="J350" s="3" t="str">
        <f t="shared" si="27"/>
        <v/>
      </c>
      <c r="K350" s="3" t="str">
        <f t="shared" si="28"/>
        <v/>
      </c>
      <c r="L350" s="9" t="str">
        <f t="shared" si="29"/>
        <v/>
      </c>
      <c r="N350" s="3"/>
      <c r="O350" s="16">
        <v>1</v>
      </c>
    </row>
    <row r="351" spans="1:15" x14ac:dyDescent="0.25">
      <c r="A351" t="s">
        <v>491</v>
      </c>
      <c r="B351" s="3" t="s">
        <v>33</v>
      </c>
      <c r="C351" s="3" t="s">
        <v>9</v>
      </c>
      <c r="D351" s="4">
        <v>4</v>
      </c>
      <c r="E351" s="11">
        <v>7.48</v>
      </c>
      <c r="F351" s="9">
        <f t="shared" si="25"/>
        <v>29.92</v>
      </c>
      <c r="G351" s="3" t="str">
        <f t="shared" si="26"/>
        <v/>
      </c>
      <c r="J351" s="3" t="str">
        <f t="shared" si="27"/>
        <v/>
      </c>
      <c r="K351" s="3" t="str">
        <f t="shared" si="28"/>
        <v/>
      </c>
      <c r="L351" s="9" t="str">
        <f t="shared" si="29"/>
        <v/>
      </c>
      <c r="M351" s="3">
        <v>1</v>
      </c>
      <c r="N351" s="3"/>
      <c r="O351" s="15">
        <v>0</v>
      </c>
    </row>
    <row r="352" spans="1:15" x14ac:dyDescent="0.25">
      <c r="A352" t="s">
        <v>104</v>
      </c>
      <c r="B352" s="3" t="s">
        <v>33</v>
      </c>
      <c r="C352" s="3" t="s">
        <v>9</v>
      </c>
      <c r="D352" s="18">
        <v>3</v>
      </c>
      <c r="E352" s="11">
        <v>6.22</v>
      </c>
      <c r="F352" s="9">
        <f t="shared" si="25"/>
        <v>18.66</v>
      </c>
      <c r="G352" s="3" t="str">
        <f t="shared" si="26"/>
        <v/>
      </c>
      <c r="H352" s="3">
        <v>0</v>
      </c>
      <c r="I352" s="3">
        <v>0</v>
      </c>
      <c r="J352" s="3" t="str">
        <f t="shared" si="27"/>
        <v/>
      </c>
      <c r="K352" s="3" t="str">
        <f t="shared" si="28"/>
        <v/>
      </c>
      <c r="L352" s="9" t="str">
        <f t="shared" si="29"/>
        <v/>
      </c>
      <c r="M352" s="3">
        <v>1</v>
      </c>
      <c r="N352" s="3"/>
      <c r="O352" s="16">
        <v>1</v>
      </c>
    </row>
    <row r="353" spans="1:15" x14ac:dyDescent="0.25">
      <c r="A353" t="s">
        <v>105</v>
      </c>
      <c r="B353" s="3" t="s">
        <v>33</v>
      </c>
      <c r="C353" s="3" t="s">
        <v>9</v>
      </c>
      <c r="D353" s="18">
        <v>2</v>
      </c>
      <c r="E353" s="11">
        <v>7.56</v>
      </c>
      <c r="F353" s="9">
        <f t="shared" si="25"/>
        <v>15.12</v>
      </c>
      <c r="G353" s="3" t="str">
        <f t="shared" si="26"/>
        <v/>
      </c>
      <c r="H353" s="3">
        <v>0</v>
      </c>
      <c r="I353" s="3">
        <v>0</v>
      </c>
      <c r="J353" s="3" t="str">
        <f t="shared" si="27"/>
        <v/>
      </c>
      <c r="K353" s="3" t="str">
        <f t="shared" si="28"/>
        <v/>
      </c>
      <c r="L353" s="9" t="str">
        <f t="shared" si="29"/>
        <v/>
      </c>
      <c r="N353" s="3">
        <v>1</v>
      </c>
      <c r="O353" s="16">
        <v>3</v>
      </c>
    </row>
    <row r="354" spans="1:15" x14ac:dyDescent="0.25">
      <c r="A354" t="s">
        <v>106</v>
      </c>
      <c r="B354" s="3" t="s">
        <v>33</v>
      </c>
      <c r="C354" s="3" t="s">
        <v>9</v>
      </c>
      <c r="D354" s="18">
        <v>5</v>
      </c>
      <c r="E354" s="11">
        <v>12.16</v>
      </c>
      <c r="F354" s="9">
        <f t="shared" si="25"/>
        <v>60.8</v>
      </c>
      <c r="G354" s="3" t="str">
        <f t="shared" si="26"/>
        <v/>
      </c>
      <c r="H354" s="3">
        <v>0</v>
      </c>
      <c r="I354" s="3">
        <v>0</v>
      </c>
      <c r="J354" s="3" t="str">
        <f t="shared" si="27"/>
        <v/>
      </c>
      <c r="K354" s="3" t="str">
        <f t="shared" si="28"/>
        <v/>
      </c>
      <c r="L354" s="9" t="str">
        <f t="shared" si="29"/>
        <v/>
      </c>
      <c r="N354" s="3"/>
      <c r="O354" s="16">
        <v>5</v>
      </c>
    </row>
    <row r="355" spans="1:15" x14ac:dyDescent="0.25">
      <c r="A355" t="s">
        <v>370</v>
      </c>
      <c r="B355" s="3" t="s">
        <v>33</v>
      </c>
      <c r="C355" s="3" t="s">
        <v>9</v>
      </c>
      <c r="D355" s="4">
        <v>7</v>
      </c>
      <c r="E355" s="11">
        <v>3.78</v>
      </c>
      <c r="F355" s="9">
        <f t="shared" si="25"/>
        <v>26.459999999999997</v>
      </c>
      <c r="G355" s="3" t="str">
        <f t="shared" si="26"/>
        <v/>
      </c>
      <c r="J355" s="3" t="str">
        <f t="shared" si="27"/>
        <v/>
      </c>
      <c r="K355" s="3" t="str">
        <f t="shared" si="28"/>
        <v/>
      </c>
      <c r="L355" s="9" t="str">
        <f t="shared" si="29"/>
        <v/>
      </c>
      <c r="M355" s="3">
        <v>1</v>
      </c>
      <c r="N355" s="3"/>
      <c r="O355" s="15">
        <v>0</v>
      </c>
    </row>
    <row r="356" spans="1:15" x14ac:dyDescent="0.25">
      <c r="A356" t="s">
        <v>107</v>
      </c>
      <c r="B356" s="3" t="s">
        <v>33</v>
      </c>
      <c r="C356" s="3" t="s">
        <v>9</v>
      </c>
      <c r="D356" s="18">
        <v>2</v>
      </c>
      <c r="E356" s="11">
        <v>4.663333333333334</v>
      </c>
      <c r="F356" s="9">
        <f t="shared" si="25"/>
        <v>9.326666666666668</v>
      </c>
      <c r="G356" s="3" t="str">
        <f t="shared" si="26"/>
        <v/>
      </c>
      <c r="H356" s="3">
        <v>0</v>
      </c>
      <c r="I356" s="3">
        <v>0</v>
      </c>
      <c r="J356" s="3" t="str">
        <f t="shared" si="27"/>
        <v/>
      </c>
      <c r="K356" s="3" t="str">
        <f t="shared" si="28"/>
        <v/>
      </c>
      <c r="L356" s="9" t="str">
        <f t="shared" si="29"/>
        <v/>
      </c>
      <c r="M356" s="3">
        <v>1</v>
      </c>
      <c r="N356" s="3">
        <v>1</v>
      </c>
      <c r="O356" s="16">
        <v>1</v>
      </c>
    </row>
    <row r="357" spans="1:15" x14ac:dyDescent="0.25">
      <c r="A357" t="s">
        <v>108</v>
      </c>
      <c r="B357" s="3" t="s">
        <v>60</v>
      </c>
      <c r="C357" s="3" t="s">
        <v>109</v>
      </c>
      <c r="D357" s="18">
        <v>66100</v>
      </c>
      <c r="E357" s="11">
        <v>0.32</v>
      </c>
      <c r="F357" s="9">
        <f t="shared" si="25"/>
        <v>21152</v>
      </c>
      <c r="G357" s="3" t="str">
        <f t="shared" si="26"/>
        <v/>
      </c>
      <c r="H357" s="3">
        <v>0</v>
      </c>
      <c r="I357" s="3">
        <v>0</v>
      </c>
      <c r="J357" s="3" t="str">
        <f t="shared" si="27"/>
        <v/>
      </c>
      <c r="K357" s="3" t="str">
        <f t="shared" si="28"/>
        <v/>
      </c>
      <c r="L357" s="9" t="str">
        <f t="shared" si="29"/>
        <v/>
      </c>
      <c r="N357" s="3"/>
      <c r="O357" s="16">
        <v>66100</v>
      </c>
    </row>
    <row r="358" spans="1:15" x14ac:dyDescent="0.25">
      <c r="A358" t="s">
        <v>492</v>
      </c>
      <c r="B358" s="3" t="s">
        <v>405</v>
      </c>
      <c r="C358" s="3" t="s">
        <v>109</v>
      </c>
      <c r="D358" s="4"/>
      <c r="F358" s="9">
        <f t="shared" si="25"/>
        <v>0</v>
      </c>
      <c r="G358" s="3" t="str">
        <f t="shared" si="26"/>
        <v>BLOCK</v>
      </c>
      <c r="J358" s="3" t="str">
        <f t="shared" si="27"/>
        <v/>
      </c>
      <c r="K358" s="3" t="str">
        <f t="shared" si="28"/>
        <v/>
      </c>
      <c r="L358" s="9" t="str">
        <f t="shared" si="29"/>
        <v/>
      </c>
      <c r="N358" s="3"/>
      <c r="O358" s="15">
        <v>0</v>
      </c>
    </row>
    <row r="359" spans="1:15" x14ac:dyDescent="0.25">
      <c r="A359" t="s">
        <v>371</v>
      </c>
      <c r="B359" s="3" t="s">
        <v>372</v>
      </c>
      <c r="C359" s="3" t="s">
        <v>42</v>
      </c>
      <c r="D359" s="18">
        <v>100</v>
      </c>
      <c r="E359" s="11">
        <v>9.9</v>
      </c>
      <c r="F359" s="9">
        <f t="shared" si="25"/>
        <v>990</v>
      </c>
      <c r="G359" s="3"/>
      <c r="H359" s="3">
        <v>0</v>
      </c>
      <c r="I359" s="3">
        <v>0</v>
      </c>
      <c r="J359" s="3" t="str">
        <f t="shared" si="27"/>
        <v/>
      </c>
      <c r="K359" s="3" t="str">
        <f t="shared" si="28"/>
        <v/>
      </c>
      <c r="L359" s="9" t="str">
        <f t="shared" si="29"/>
        <v/>
      </c>
      <c r="N359" s="3">
        <v>1</v>
      </c>
      <c r="O359" s="16">
        <v>120</v>
      </c>
    </row>
    <row r="360" spans="1:15" x14ac:dyDescent="0.25">
      <c r="A360" t="s">
        <v>41</v>
      </c>
      <c r="B360" s="3" t="s">
        <v>8</v>
      </c>
      <c r="C360" s="3" t="s">
        <v>42</v>
      </c>
      <c r="D360" s="18">
        <v>1171</v>
      </c>
      <c r="E360" s="11">
        <v>1.17</v>
      </c>
      <c r="F360" s="9">
        <f t="shared" si="25"/>
        <v>1370.07</v>
      </c>
      <c r="G360" s="3" t="str">
        <f t="shared" ref="G360:G422" si="30">IF(E360=0,"BLOCK","")</f>
        <v/>
      </c>
      <c r="H360" s="3">
        <v>0</v>
      </c>
      <c r="I360" s="3">
        <v>0</v>
      </c>
      <c r="J360" s="3" t="str">
        <f t="shared" si="27"/>
        <v/>
      </c>
      <c r="K360" s="3" t="str">
        <f t="shared" si="28"/>
        <v/>
      </c>
      <c r="L360" s="9" t="str">
        <f t="shared" si="29"/>
        <v/>
      </c>
      <c r="M360" s="3">
        <v>7</v>
      </c>
      <c r="N360" s="3">
        <v>334</v>
      </c>
      <c r="O360" s="16">
        <v>700</v>
      </c>
    </row>
    <row r="361" spans="1:15" x14ac:dyDescent="0.25">
      <c r="A361" t="s">
        <v>373</v>
      </c>
      <c r="B361" s="3" t="s">
        <v>8</v>
      </c>
      <c r="C361" s="3" t="s">
        <v>42</v>
      </c>
      <c r="D361" s="18">
        <v>18.079999999999998</v>
      </c>
      <c r="E361" s="11">
        <v>0.75</v>
      </c>
      <c r="F361" s="9">
        <f t="shared" si="25"/>
        <v>13.559999999999999</v>
      </c>
      <c r="G361" s="3" t="str">
        <f t="shared" si="30"/>
        <v/>
      </c>
      <c r="H361" s="3">
        <v>0</v>
      </c>
      <c r="I361" s="3">
        <v>0</v>
      </c>
      <c r="J361" s="3" t="str">
        <f t="shared" si="27"/>
        <v/>
      </c>
      <c r="K361" s="3" t="str">
        <f t="shared" si="28"/>
        <v/>
      </c>
      <c r="L361" s="9" t="str">
        <f t="shared" si="29"/>
        <v/>
      </c>
      <c r="M361" s="3">
        <v>2</v>
      </c>
      <c r="N361" s="3">
        <v>3</v>
      </c>
      <c r="O361" s="16">
        <v>0</v>
      </c>
    </row>
    <row r="362" spans="1:15" x14ac:dyDescent="0.25">
      <c r="A362" t="s">
        <v>43</v>
      </c>
      <c r="B362" s="3" t="s">
        <v>8</v>
      </c>
      <c r="C362" s="3" t="s">
        <v>42</v>
      </c>
      <c r="D362" s="18">
        <v>215</v>
      </c>
      <c r="E362" s="11">
        <v>1.4</v>
      </c>
      <c r="F362" s="9">
        <f t="shared" si="25"/>
        <v>301</v>
      </c>
      <c r="G362" s="3" t="str">
        <f t="shared" si="30"/>
        <v/>
      </c>
      <c r="H362" s="3">
        <v>0</v>
      </c>
      <c r="I362" s="3">
        <v>0</v>
      </c>
      <c r="J362" s="3" t="str">
        <f t="shared" si="27"/>
        <v/>
      </c>
      <c r="K362" s="3" t="str">
        <f t="shared" si="28"/>
        <v/>
      </c>
      <c r="L362" s="9" t="str">
        <f t="shared" si="29"/>
        <v/>
      </c>
      <c r="M362" s="3">
        <v>1</v>
      </c>
      <c r="N362" s="3">
        <v>26</v>
      </c>
      <c r="O362" s="16">
        <v>150</v>
      </c>
    </row>
    <row r="363" spans="1:15" x14ac:dyDescent="0.25">
      <c r="A363" t="s">
        <v>374</v>
      </c>
      <c r="B363" s="3" t="s">
        <v>33</v>
      </c>
      <c r="C363" s="3" t="s">
        <v>44</v>
      </c>
      <c r="D363" s="18">
        <v>2</v>
      </c>
      <c r="E363" s="11">
        <v>7</v>
      </c>
      <c r="F363" s="9">
        <f t="shared" si="25"/>
        <v>14</v>
      </c>
      <c r="G363" s="3" t="str">
        <f t="shared" si="30"/>
        <v/>
      </c>
      <c r="H363" s="3">
        <v>0</v>
      </c>
      <c r="I363" s="3">
        <v>0</v>
      </c>
      <c r="J363" s="3" t="str">
        <f t="shared" si="27"/>
        <v/>
      </c>
      <c r="K363" s="3" t="str">
        <f t="shared" si="28"/>
        <v/>
      </c>
      <c r="L363" s="9" t="str">
        <f t="shared" si="29"/>
        <v/>
      </c>
      <c r="N363" s="3">
        <v>1</v>
      </c>
      <c r="O363" s="16">
        <v>6</v>
      </c>
    </row>
    <row r="364" spans="1:15" x14ac:dyDescent="0.25">
      <c r="A364" t="s">
        <v>110</v>
      </c>
      <c r="B364" s="3" t="s">
        <v>8</v>
      </c>
      <c r="C364" s="3" t="s">
        <v>44</v>
      </c>
      <c r="D364" s="18">
        <v>14.5</v>
      </c>
      <c r="E364" s="11">
        <v>10</v>
      </c>
      <c r="F364" s="9">
        <f t="shared" si="25"/>
        <v>145</v>
      </c>
      <c r="G364" s="3" t="str">
        <f t="shared" si="30"/>
        <v/>
      </c>
      <c r="H364" s="3">
        <v>0</v>
      </c>
      <c r="I364" s="3">
        <v>0</v>
      </c>
      <c r="J364" s="3" t="str">
        <f t="shared" si="27"/>
        <v/>
      </c>
      <c r="K364" s="3" t="str">
        <f t="shared" si="28"/>
        <v/>
      </c>
      <c r="L364" s="9" t="str">
        <f t="shared" si="29"/>
        <v/>
      </c>
      <c r="N364" s="3"/>
      <c r="O364" s="16">
        <v>14.5</v>
      </c>
    </row>
    <row r="365" spans="1:15" x14ac:dyDescent="0.25">
      <c r="A365" t="s">
        <v>375</v>
      </c>
      <c r="B365" s="3" t="s">
        <v>8</v>
      </c>
      <c r="C365" s="3" t="s">
        <v>44</v>
      </c>
      <c r="D365" s="18">
        <v>235</v>
      </c>
      <c r="E365" s="11">
        <v>3.81</v>
      </c>
      <c r="F365" s="9">
        <f t="shared" si="25"/>
        <v>895.35</v>
      </c>
      <c r="G365" s="3" t="str">
        <f t="shared" si="30"/>
        <v/>
      </c>
      <c r="H365" s="3">
        <v>0</v>
      </c>
      <c r="I365" s="3">
        <v>0</v>
      </c>
      <c r="J365" s="3" t="str">
        <f t="shared" si="27"/>
        <v/>
      </c>
      <c r="K365" s="3" t="str">
        <f t="shared" si="28"/>
        <v/>
      </c>
      <c r="L365" s="9" t="str">
        <f t="shared" si="29"/>
        <v/>
      </c>
      <c r="N365" s="3">
        <v>7</v>
      </c>
      <c r="O365" s="16">
        <v>300</v>
      </c>
    </row>
    <row r="366" spans="1:15" x14ac:dyDescent="0.25">
      <c r="A366" t="s">
        <v>376</v>
      </c>
      <c r="B366" s="3" t="s">
        <v>33</v>
      </c>
      <c r="C366" s="3" t="s">
        <v>44</v>
      </c>
      <c r="D366" s="18">
        <v>17</v>
      </c>
      <c r="E366" s="11">
        <v>6</v>
      </c>
      <c r="F366" s="9">
        <f t="shared" si="25"/>
        <v>102</v>
      </c>
      <c r="G366" s="3" t="str">
        <f t="shared" si="30"/>
        <v/>
      </c>
      <c r="H366" s="3">
        <v>0</v>
      </c>
      <c r="I366" s="3">
        <v>0</v>
      </c>
      <c r="J366" s="3" t="str">
        <f t="shared" si="27"/>
        <v/>
      </c>
      <c r="K366" s="3" t="str">
        <f t="shared" si="28"/>
        <v/>
      </c>
      <c r="L366" s="9" t="str">
        <f t="shared" si="29"/>
        <v/>
      </c>
      <c r="N366" s="3">
        <v>1</v>
      </c>
      <c r="O366" s="16">
        <v>18</v>
      </c>
    </row>
    <row r="367" spans="1:15" x14ac:dyDescent="0.25">
      <c r="A367" t="s">
        <v>377</v>
      </c>
      <c r="B367" s="3" t="s">
        <v>33</v>
      </c>
      <c r="C367" s="3" t="s">
        <v>44</v>
      </c>
      <c r="D367" s="18">
        <v>2</v>
      </c>
      <c r="E367" s="11">
        <v>12</v>
      </c>
      <c r="F367" s="9">
        <f t="shared" si="25"/>
        <v>24</v>
      </c>
      <c r="G367" s="3" t="str">
        <f t="shared" si="30"/>
        <v/>
      </c>
      <c r="H367" s="3">
        <v>0</v>
      </c>
      <c r="I367" s="3">
        <v>0</v>
      </c>
      <c r="J367" s="3" t="str">
        <f t="shared" si="27"/>
        <v/>
      </c>
      <c r="K367" s="3" t="str">
        <f t="shared" si="28"/>
        <v/>
      </c>
      <c r="L367" s="9" t="str">
        <f t="shared" si="29"/>
        <v/>
      </c>
      <c r="N367" s="3"/>
      <c r="O367" s="16">
        <v>2</v>
      </c>
    </row>
    <row r="368" spans="1:15" x14ac:dyDescent="0.25">
      <c r="A368" t="s">
        <v>111</v>
      </c>
      <c r="B368" s="3" t="s">
        <v>60</v>
      </c>
      <c r="C368" s="3" t="s">
        <v>44</v>
      </c>
      <c r="D368" s="18">
        <v>75</v>
      </c>
      <c r="E368" s="11">
        <v>3.81</v>
      </c>
      <c r="F368" s="9">
        <f t="shared" si="25"/>
        <v>285.75</v>
      </c>
      <c r="G368" s="3" t="str">
        <f t="shared" si="30"/>
        <v/>
      </c>
      <c r="H368" s="3">
        <v>0</v>
      </c>
      <c r="I368" s="3">
        <v>0</v>
      </c>
      <c r="J368" s="3" t="str">
        <f t="shared" si="27"/>
        <v/>
      </c>
      <c r="K368" s="3" t="str">
        <f t="shared" si="28"/>
        <v/>
      </c>
      <c r="L368" s="9" t="str">
        <f t="shared" si="29"/>
        <v/>
      </c>
      <c r="N368" s="3">
        <v>1</v>
      </c>
      <c r="O368" s="16">
        <v>90</v>
      </c>
    </row>
    <row r="369" spans="1:15" x14ac:dyDescent="0.25">
      <c r="A369" t="s">
        <v>112</v>
      </c>
      <c r="B369" s="3" t="s">
        <v>8</v>
      </c>
      <c r="C369" s="3" t="s">
        <v>44</v>
      </c>
      <c r="D369" s="18">
        <v>193</v>
      </c>
      <c r="E369" s="11">
        <v>3.18</v>
      </c>
      <c r="F369" s="9">
        <f t="shared" si="25"/>
        <v>613.74</v>
      </c>
      <c r="G369" s="3" t="str">
        <f t="shared" si="30"/>
        <v/>
      </c>
      <c r="H369" s="3">
        <v>0</v>
      </c>
      <c r="I369" s="3">
        <v>0</v>
      </c>
      <c r="J369" s="3" t="str">
        <f t="shared" si="27"/>
        <v/>
      </c>
      <c r="K369" s="3" t="str">
        <f t="shared" si="28"/>
        <v/>
      </c>
      <c r="L369" s="9" t="str">
        <f t="shared" si="29"/>
        <v/>
      </c>
      <c r="N369" s="3">
        <v>2</v>
      </c>
      <c r="O369" s="16">
        <v>200</v>
      </c>
    </row>
    <row r="370" spans="1:15" x14ac:dyDescent="0.25">
      <c r="A370" t="s">
        <v>378</v>
      </c>
      <c r="B370" s="3" t="s">
        <v>33</v>
      </c>
      <c r="C370" s="3" t="s">
        <v>44</v>
      </c>
      <c r="D370" s="18">
        <v>4</v>
      </c>
      <c r="E370" s="11">
        <v>4</v>
      </c>
      <c r="F370" s="9">
        <f t="shared" si="25"/>
        <v>16</v>
      </c>
      <c r="G370" s="3" t="str">
        <f t="shared" si="30"/>
        <v/>
      </c>
      <c r="H370" s="3">
        <v>0</v>
      </c>
      <c r="I370" s="3">
        <v>0</v>
      </c>
      <c r="J370" s="3" t="str">
        <f t="shared" si="27"/>
        <v/>
      </c>
      <c r="K370" s="3" t="str">
        <f t="shared" si="28"/>
        <v/>
      </c>
      <c r="L370" s="9" t="str">
        <f t="shared" si="29"/>
        <v/>
      </c>
      <c r="N370" s="3"/>
      <c r="O370" s="16">
        <v>4</v>
      </c>
    </row>
    <row r="371" spans="1:15" x14ac:dyDescent="0.25">
      <c r="A371" t="s">
        <v>379</v>
      </c>
      <c r="B371" s="3" t="s">
        <v>33</v>
      </c>
      <c r="C371" s="3" t="s">
        <v>44</v>
      </c>
      <c r="D371" s="18">
        <v>2</v>
      </c>
      <c r="E371" s="11">
        <v>5</v>
      </c>
      <c r="F371" s="9">
        <f t="shared" si="25"/>
        <v>10</v>
      </c>
      <c r="G371" s="3" t="str">
        <f t="shared" si="30"/>
        <v/>
      </c>
      <c r="H371" s="3">
        <v>0</v>
      </c>
      <c r="I371" s="3">
        <v>0</v>
      </c>
      <c r="J371" s="3" t="str">
        <f t="shared" si="27"/>
        <v/>
      </c>
      <c r="K371" s="3" t="str">
        <f t="shared" si="28"/>
        <v/>
      </c>
      <c r="L371" s="9" t="str">
        <f t="shared" si="29"/>
        <v/>
      </c>
      <c r="N371" s="3"/>
      <c r="O371" s="16">
        <v>2</v>
      </c>
    </row>
    <row r="372" spans="1:15" x14ac:dyDescent="0.25">
      <c r="A372" t="s">
        <v>380</v>
      </c>
      <c r="B372" s="3" t="s">
        <v>8</v>
      </c>
      <c r="C372" s="3" t="s">
        <v>44</v>
      </c>
      <c r="D372" s="18">
        <v>153.5</v>
      </c>
      <c r="E372" s="11">
        <v>3.45</v>
      </c>
      <c r="F372" s="9">
        <f t="shared" si="25"/>
        <v>529.57500000000005</v>
      </c>
      <c r="G372" s="3" t="str">
        <f t="shared" si="30"/>
        <v/>
      </c>
      <c r="H372" s="3">
        <v>0</v>
      </c>
      <c r="I372" s="3">
        <v>0</v>
      </c>
      <c r="J372" s="3" t="str">
        <f t="shared" si="27"/>
        <v/>
      </c>
      <c r="K372" s="3" t="str">
        <f t="shared" si="28"/>
        <v/>
      </c>
      <c r="L372" s="9" t="str">
        <f t="shared" si="29"/>
        <v/>
      </c>
      <c r="N372" s="3">
        <v>21</v>
      </c>
      <c r="O372" s="16">
        <v>200</v>
      </c>
    </row>
    <row r="373" spans="1:15" x14ac:dyDescent="0.25">
      <c r="A373" t="s">
        <v>381</v>
      </c>
      <c r="B373" s="3" t="s">
        <v>8</v>
      </c>
      <c r="C373" s="3" t="s">
        <v>44</v>
      </c>
      <c r="D373" s="18">
        <v>674</v>
      </c>
      <c r="E373" s="11">
        <v>4.0599999999999996</v>
      </c>
      <c r="F373" s="9">
        <f t="shared" si="25"/>
        <v>2736.4399999999996</v>
      </c>
      <c r="G373" s="3" t="str">
        <f t="shared" si="30"/>
        <v/>
      </c>
      <c r="H373" s="3">
        <v>0</v>
      </c>
      <c r="I373" s="3">
        <v>0</v>
      </c>
      <c r="J373" s="3" t="str">
        <f t="shared" si="27"/>
        <v/>
      </c>
      <c r="K373" s="3" t="str">
        <f t="shared" si="28"/>
        <v/>
      </c>
      <c r="L373" s="9" t="str">
        <f t="shared" si="29"/>
        <v/>
      </c>
      <c r="N373" s="3">
        <v>7</v>
      </c>
      <c r="O373" s="16">
        <v>730</v>
      </c>
    </row>
    <row r="374" spans="1:15" x14ac:dyDescent="0.25">
      <c r="A374" t="s">
        <v>382</v>
      </c>
      <c r="B374" s="3" t="s">
        <v>33</v>
      </c>
      <c r="C374" s="3" t="s">
        <v>9</v>
      </c>
      <c r="D374" s="4">
        <v>0</v>
      </c>
      <c r="E374" s="11">
        <v>26.09</v>
      </c>
      <c r="F374" s="9">
        <f t="shared" si="25"/>
        <v>0</v>
      </c>
      <c r="G374" s="3" t="str">
        <f t="shared" si="30"/>
        <v/>
      </c>
      <c r="J374" s="3" t="str">
        <f t="shared" si="27"/>
        <v/>
      </c>
      <c r="K374" s="3" t="str">
        <f t="shared" si="28"/>
        <v/>
      </c>
      <c r="L374" s="9" t="str">
        <f t="shared" si="29"/>
        <v/>
      </c>
      <c r="M374" s="3">
        <v>1</v>
      </c>
      <c r="N374" s="3">
        <v>1</v>
      </c>
      <c r="O374" s="15">
        <v>0</v>
      </c>
    </row>
    <row r="375" spans="1:15" x14ac:dyDescent="0.25">
      <c r="A375" t="s">
        <v>383</v>
      </c>
      <c r="B375" s="3" t="s">
        <v>33</v>
      </c>
      <c r="C375" s="3" t="s">
        <v>9</v>
      </c>
      <c r="D375" s="4">
        <v>0</v>
      </c>
      <c r="E375" s="11">
        <v>27.83</v>
      </c>
      <c r="F375" s="9">
        <f t="shared" si="25"/>
        <v>0</v>
      </c>
      <c r="G375" s="3" t="str">
        <f t="shared" si="30"/>
        <v/>
      </c>
      <c r="J375" s="3" t="str">
        <f t="shared" si="27"/>
        <v/>
      </c>
      <c r="K375" s="3" t="str">
        <f t="shared" si="28"/>
        <v/>
      </c>
      <c r="L375" s="9" t="str">
        <f t="shared" si="29"/>
        <v/>
      </c>
      <c r="M375" s="3">
        <v>1</v>
      </c>
      <c r="N375" s="3">
        <v>1</v>
      </c>
      <c r="O375" s="15">
        <v>0</v>
      </c>
    </row>
    <row r="376" spans="1:15" x14ac:dyDescent="0.25">
      <c r="A376" t="s">
        <v>384</v>
      </c>
      <c r="B376" s="3" t="s">
        <v>33</v>
      </c>
      <c r="C376" s="3" t="s">
        <v>9</v>
      </c>
      <c r="D376" s="4">
        <v>0</v>
      </c>
      <c r="E376" s="11">
        <v>54.78</v>
      </c>
      <c r="F376" s="9">
        <f t="shared" si="25"/>
        <v>0</v>
      </c>
      <c r="G376" s="3" t="str">
        <f t="shared" si="30"/>
        <v/>
      </c>
      <c r="J376" s="3" t="str">
        <f t="shared" si="27"/>
        <v/>
      </c>
      <c r="K376" s="3" t="str">
        <f t="shared" si="28"/>
        <v/>
      </c>
      <c r="L376" s="9" t="str">
        <f t="shared" si="29"/>
        <v/>
      </c>
      <c r="M376" s="3">
        <v>1</v>
      </c>
      <c r="N376" s="3">
        <v>1</v>
      </c>
      <c r="O376" s="15">
        <v>0</v>
      </c>
    </row>
    <row r="377" spans="1:15" x14ac:dyDescent="0.25">
      <c r="A377" t="s">
        <v>385</v>
      </c>
      <c r="B377" s="3" t="s">
        <v>33</v>
      </c>
      <c r="C377" s="3" t="s">
        <v>9</v>
      </c>
      <c r="D377" s="4">
        <v>0</v>
      </c>
      <c r="E377" s="11">
        <v>29.57</v>
      </c>
      <c r="F377" s="9">
        <f t="shared" si="25"/>
        <v>0</v>
      </c>
      <c r="G377" s="3" t="str">
        <f t="shared" si="30"/>
        <v/>
      </c>
      <c r="J377" s="3" t="str">
        <f t="shared" si="27"/>
        <v/>
      </c>
      <c r="K377" s="3" t="str">
        <f t="shared" si="28"/>
        <v/>
      </c>
      <c r="L377" s="9" t="str">
        <f t="shared" si="29"/>
        <v/>
      </c>
      <c r="M377" s="3">
        <v>1</v>
      </c>
      <c r="N377" s="3">
        <v>1</v>
      </c>
      <c r="O377" s="15">
        <v>0</v>
      </c>
    </row>
    <row r="378" spans="1:15" x14ac:dyDescent="0.25">
      <c r="A378" t="s">
        <v>386</v>
      </c>
      <c r="B378" s="3" t="s">
        <v>33</v>
      </c>
      <c r="C378" s="3" t="s">
        <v>9</v>
      </c>
      <c r="D378" s="4">
        <v>0</v>
      </c>
      <c r="E378" s="11">
        <v>1.74</v>
      </c>
      <c r="F378" s="9">
        <f t="shared" si="25"/>
        <v>0</v>
      </c>
      <c r="G378" s="3" t="str">
        <f t="shared" si="30"/>
        <v/>
      </c>
      <c r="J378" s="3" t="str">
        <f t="shared" si="27"/>
        <v/>
      </c>
      <c r="K378" s="3" t="str">
        <f t="shared" si="28"/>
        <v/>
      </c>
      <c r="L378" s="9" t="str">
        <f t="shared" si="29"/>
        <v/>
      </c>
      <c r="M378" s="3">
        <v>1</v>
      </c>
      <c r="N378" s="3">
        <v>1</v>
      </c>
      <c r="O378" s="15">
        <v>0</v>
      </c>
    </row>
    <row r="379" spans="1:15" x14ac:dyDescent="0.25">
      <c r="A379" t="s">
        <v>387</v>
      </c>
      <c r="B379" s="3" t="s">
        <v>388</v>
      </c>
      <c r="C379" s="3" t="s">
        <v>389</v>
      </c>
      <c r="D379" s="18">
        <v>25</v>
      </c>
      <c r="E379" s="11">
        <v>0</v>
      </c>
      <c r="F379" s="9">
        <f t="shared" si="25"/>
        <v>0</v>
      </c>
      <c r="G379" s="3" t="str">
        <f t="shared" si="30"/>
        <v>BLOCK</v>
      </c>
      <c r="H379" s="3">
        <v>0</v>
      </c>
      <c r="I379" s="3">
        <v>0</v>
      </c>
      <c r="J379" s="3" t="str">
        <f t="shared" si="27"/>
        <v/>
      </c>
      <c r="K379" s="3" t="str">
        <f t="shared" si="28"/>
        <v/>
      </c>
      <c r="L379" s="9" t="str">
        <f t="shared" si="29"/>
        <v/>
      </c>
      <c r="N379" s="3"/>
      <c r="O379" s="16">
        <v>25</v>
      </c>
    </row>
    <row r="380" spans="1:15" x14ac:dyDescent="0.25">
      <c r="A380" t="s">
        <v>390</v>
      </c>
      <c r="B380" s="3" t="s">
        <v>388</v>
      </c>
      <c r="C380" s="3" t="s">
        <v>389</v>
      </c>
      <c r="D380" s="18">
        <v>1</v>
      </c>
      <c r="E380" s="11">
        <v>0</v>
      </c>
      <c r="F380" s="9">
        <f t="shared" si="25"/>
        <v>0</v>
      </c>
      <c r="G380" s="3" t="str">
        <f t="shared" si="30"/>
        <v>BLOCK</v>
      </c>
      <c r="H380" s="3">
        <v>0</v>
      </c>
      <c r="I380" s="3">
        <v>0</v>
      </c>
      <c r="J380" s="3" t="str">
        <f t="shared" si="27"/>
        <v/>
      </c>
      <c r="K380" s="3" t="str">
        <f t="shared" si="28"/>
        <v/>
      </c>
      <c r="L380" s="9" t="str">
        <f t="shared" si="29"/>
        <v/>
      </c>
      <c r="N380" s="3"/>
      <c r="O380" s="16">
        <v>1</v>
      </c>
    </row>
    <row r="381" spans="1:15" x14ac:dyDescent="0.25">
      <c r="A381" t="s">
        <v>493</v>
      </c>
      <c r="B381" s="3" t="s">
        <v>392</v>
      </c>
      <c r="C381" s="3" t="s">
        <v>393</v>
      </c>
      <c r="D381" s="4">
        <v>15</v>
      </c>
      <c r="E381" s="11">
        <v>1.3</v>
      </c>
      <c r="F381" s="9">
        <f t="shared" si="25"/>
        <v>19.5</v>
      </c>
      <c r="G381" s="3" t="str">
        <f t="shared" si="30"/>
        <v/>
      </c>
      <c r="J381" s="3" t="str">
        <f t="shared" si="27"/>
        <v/>
      </c>
      <c r="K381" s="3" t="str">
        <f t="shared" si="28"/>
        <v/>
      </c>
      <c r="L381" s="9" t="str">
        <f t="shared" si="29"/>
        <v/>
      </c>
      <c r="M381" s="3">
        <v>1</v>
      </c>
      <c r="N381" s="3"/>
      <c r="O381" s="15">
        <v>0</v>
      </c>
    </row>
    <row r="382" spans="1:15" x14ac:dyDescent="0.25">
      <c r="A382" t="s">
        <v>391</v>
      </c>
      <c r="B382" s="3" t="s">
        <v>392</v>
      </c>
      <c r="C382" s="3" t="s">
        <v>393</v>
      </c>
      <c r="D382" s="4">
        <v>3</v>
      </c>
      <c r="E382" s="11">
        <v>6.830000000000001</v>
      </c>
      <c r="F382" s="9">
        <f t="shared" si="25"/>
        <v>20.490000000000002</v>
      </c>
      <c r="G382" s="3" t="str">
        <f t="shared" si="30"/>
        <v/>
      </c>
      <c r="J382" s="3" t="str">
        <f t="shared" si="27"/>
        <v/>
      </c>
      <c r="K382" s="3" t="str">
        <f t="shared" si="28"/>
        <v/>
      </c>
      <c r="L382" s="9" t="str">
        <f t="shared" si="29"/>
        <v/>
      </c>
      <c r="M382" s="3">
        <v>1</v>
      </c>
      <c r="N382" s="3"/>
      <c r="O382" s="15">
        <v>0</v>
      </c>
    </row>
    <row r="383" spans="1:15" x14ac:dyDescent="0.25">
      <c r="A383" t="s">
        <v>394</v>
      </c>
      <c r="B383" s="3" t="s">
        <v>392</v>
      </c>
      <c r="C383" s="3" t="s">
        <v>393</v>
      </c>
      <c r="D383" s="4">
        <v>6</v>
      </c>
      <c r="E383" s="11">
        <v>6.830000000000001</v>
      </c>
      <c r="F383" s="9">
        <f t="shared" si="25"/>
        <v>40.980000000000004</v>
      </c>
      <c r="G383" s="3" t="str">
        <f t="shared" si="30"/>
        <v/>
      </c>
      <c r="J383" s="3" t="str">
        <f t="shared" si="27"/>
        <v/>
      </c>
      <c r="K383" s="3" t="str">
        <f t="shared" si="28"/>
        <v/>
      </c>
      <c r="L383" s="9" t="str">
        <f t="shared" si="29"/>
        <v/>
      </c>
      <c r="M383" s="3">
        <v>1</v>
      </c>
      <c r="N383" s="3"/>
      <c r="O383" s="15">
        <v>0</v>
      </c>
    </row>
    <row r="384" spans="1:15" x14ac:dyDescent="0.25">
      <c r="A384" t="s">
        <v>395</v>
      </c>
      <c r="B384" s="3" t="s">
        <v>392</v>
      </c>
      <c r="C384" s="3" t="s">
        <v>393</v>
      </c>
      <c r="D384" s="4">
        <v>6</v>
      </c>
      <c r="E384" s="11">
        <v>6.830000000000001</v>
      </c>
      <c r="F384" s="9">
        <f t="shared" si="25"/>
        <v>40.980000000000004</v>
      </c>
      <c r="G384" s="3" t="str">
        <f t="shared" si="30"/>
        <v/>
      </c>
      <c r="J384" s="3" t="str">
        <f t="shared" si="27"/>
        <v/>
      </c>
      <c r="K384" s="3" t="str">
        <f t="shared" si="28"/>
        <v/>
      </c>
      <c r="L384" s="9" t="str">
        <f t="shared" si="29"/>
        <v/>
      </c>
      <c r="M384" s="3">
        <v>1</v>
      </c>
      <c r="N384" s="3"/>
      <c r="O384" s="15">
        <v>0</v>
      </c>
    </row>
    <row r="385" spans="1:15" x14ac:dyDescent="0.25">
      <c r="A385" t="s">
        <v>494</v>
      </c>
      <c r="B385" s="3" t="s">
        <v>33</v>
      </c>
      <c r="C385" s="3" t="s">
        <v>393</v>
      </c>
      <c r="D385" s="4">
        <v>65</v>
      </c>
      <c r="E385" s="11">
        <v>6.52</v>
      </c>
      <c r="F385" s="9">
        <f t="shared" ref="F385:F427" si="31">SUM(D385*E385)</f>
        <v>423.79999999999995</v>
      </c>
      <c r="G385" s="3" t="str">
        <f t="shared" si="30"/>
        <v/>
      </c>
      <c r="J385" s="3" t="str">
        <f t="shared" ref="J385:J427" si="32">IF(H385=0,"",IF(D385&lt;=H385,"1",""))</f>
        <v/>
      </c>
      <c r="K385" s="3" t="str">
        <f t="shared" ref="K385:K427" si="33">IF(J385="","",I385-D385)</f>
        <v/>
      </c>
      <c r="L385" s="9" t="str">
        <f t="shared" ref="L385:L427" si="34">IF(J385="1",(I385-D385)*E385,"")</f>
        <v/>
      </c>
      <c r="M385" s="3">
        <v>1</v>
      </c>
      <c r="N385" s="3"/>
      <c r="O385" s="15">
        <v>0</v>
      </c>
    </row>
    <row r="386" spans="1:15" x14ac:dyDescent="0.25">
      <c r="A386" t="s">
        <v>495</v>
      </c>
      <c r="B386" s="3" t="s">
        <v>33</v>
      </c>
      <c r="C386" s="3" t="s">
        <v>393</v>
      </c>
      <c r="D386" s="4">
        <v>65</v>
      </c>
      <c r="E386" s="11">
        <v>6.52</v>
      </c>
      <c r="F386" s="9">
        <f t="shared" si="31"/>
        <v>423.79999999999995</v>
      </c>
      <c r="G386" s="3" t="str">
        <f t="shared" si="30"/>
        <v/>
      </c>
      <c r="J386" s="3" t="str">
        <f t="shared" si="32"/>
        <v/>
      </c>
      <c r="K386" s="3" t="str">
        <f t="shared" si="33"/>
        <v/>
      </c>
      <c r="L386" s="9" t="str">
        <f t="shared" si="34"/>
        <v/>
      </c>
      <c r="M386" s="3">
        <v>1</v>
      </c>
      <c r="N386" s="3"/>
      <c r="O386" s="15">
        <v>0</v>
      </c>
    </row>
    <row r="387" spans="1:15" x14ac:dyDescent="0.25">
      <c r="A387" t="s">
        <v>397</v>
      </c>
      <c r="B387" s="3" t="s">
        <v>33</v>
      </c>
      <c r="C387" s="3" t="s">
        <v>396</v>
      </c>
      <c r="D387" s="4">
        <v>-3</v>
      </c>
      <c r="E387" s="11">
        <v>21.48</v>
      </c>
      <c r="F387" s="9">
        <f t="shared" si="31"/>
        <v>-64.44</v>
      </c>
      <c r="G387" s="3" t="str">
        <f t="shared" si="30"/>
        <v/>
      </c>
      <c r="J387" s="3" t="str">
        <f t="shared" si="32"/>
        <v/>
      </c>
      <c r="K387" s="3" t="str">
        <f t="shared" si="33"/>
        <v/>
      </c>
      <c r="L387" s="9" t="str">
        <f t="shared" si="34"/>
        <v/>
      </c>
      <c r="M387" s="3">
        <v>1</v>
      </c>
      <c r="N387" s="3">
        <v>1</v>
      </c>
      <c r="O387" s="15">
        <v>0</v>
      </c>
    </row>
    <row r="388" spans="1:15" x14ac:dyDescent="0.25">
      <c r="A388" t="s">
        <v>398</v>
      </c>
      <c r="B388" s="3" t="s">
        <v>33</v>
      </c>
      <c r="C388" s="3" t="s">
        <v>9</v>
      </c>
      <c r="D388" s="4">
        <v>1</v>
      </c>
      <c r="E388" s="11">
        <v>17.39</v>
      </c>
      <c r="F388" s="9">
        <f t="shared" si="31"/>
        <v>17.39</v>
      </c>
      <c r="G388" s="3" t="str">
        <f t="shared" si="30"/>
        <v/>
      </c>
      <c r="J388" s="3" t="str">
        <f t="shared" si="32"/>
        <v/>
      </c>
      <c r="K388" s="3" t="str">
        <f t="shared" si="33"/>
        <v/>
      </c>
      <c r="L388" s="9" t="str">
        <f t="shared" si="34"/>
        <v/>
      </c>
      <c r="M388" s="3">
        <v>1</v>
      </c>
      <c r="N388" s="3"/>
      <c r="O388" s="15">
        <v>0</v>
      </c>
    </row>
    <row r="389" spans="1:15" x14ac:dyDescent="0.25">
      <c r="A389" t="s">
        <v>399</v>
      </c>
      <c r="B389" s="3" t="s">
        <v>33</v>
      </c>
      <c r="C389" s="3" t="s">
        <v>9</v>
      </c>
      <c r="D389" s="4">
        <v>2</v>
      </c>
      <c r="E389" s="11">
        <v>37.57</v>
      </c>
      <c r="F389" s="9">
        <f t="shared" si="31"/>
        <v>75.14</v>
      </c>
      <c r="G389" s="3" t="str">
        <f t="shared" si="30"/>
        <v/>
      </c>
      <c r="J389" s="3" t="str">
        <f t="shared" si="32"/>
        <v/>
      </c>
      <c r="K389" s="3" t="str">
        <f t="shared" si="33"/>
        <v/>
      </c>
      <c r="L389" s="9" t="str">
        <f t="shared" si="34"/>
        <v/>
      </c>
      <c r="M389" s="3">
        <v>2</v>
      </c>
      <c r="N389" s="3"/>
      <c r="O389" s="15">
        <v>0</v>
      </c>
    </row>
    <row r="390" spans="1:15" x14ac:dyDescent="0.25">
      <c r="A390" t="s">
        <v>113</v>
      </c>
      <c r="B390" s="3" t="s">
        <v>60</v>
      </c>
      <c r="C390" s="3" t="s">
        <v>114</v>
      </c>
      <c r="D390" s="18">
        <v>40</v>
      </c>
      <c r="E390" s="11">
        <v>0.9</v>
      </c>
      <c r="F390" s="9">
        <f t="shared" si="31"/>
        <v>36</v>
      </c>
      <c r="G390" s="3" t="str">
        <f t="shared" si="30"/>
        <v/>
      </c>
      <c r="H390" s="3">
        <v>0</v>
      </c>
      <c r="I390" s="3">
        <v>0</v>
      </c>
      <c r="J390" s="3" t="str">
        <f t="shared" si="32"/>
        <v/>
      </c>
      <c r="K390" s="3" t="str">
        <f t="shared" si="33"/>
        <v/>
      </c>
      <c r="L390" s="9" t="str">
        <f t="shared" si="34"/>
        <v/>
      </c>
      <c r="N390" s="3"/>
      <c r="O390" s="16">
        <v>40</v>
      </c>
    </row>
    <row r="391" spans="1:15" x14ac:dyDescent="0.25">
      <c r="A391" t="s">
        <v>400</v>
      </c>
      <c r="B391" s="3" t="s">
        <v>33</v>
      </c>
      <c r="C391" s="3" t="s">
        <v>114</v>
      </c>
      <c r="D391" s="18">
        <v>625</v>
      </c>
      <c r="E391" s="11">
        <v>4.3360881542699721</v>
      </c>
      <c r="F391" s="9">
        <f t="shared" si="31"/>
        <v>2710.0550964187323</v>
      </c>
      <c r="G391" s="3" t="str">
        <f t="shared" si="30"/>
        <v/>
      </c>
      <c r="H391" s="3">
        <v>0</v>
      </c>
      <c r="I391" s="3">
        <v>0</v>
      </c>
      <c r="J391" s="3" t="str">
        <f t="shared" si="32"/>
        <v/>
      </c>
      <c r="K391" s="3" t="str">
        <f t="shared" si="33"/>
        <v/>
      </c>
      <c r="L391" s="9" t="str">
        <f t="shared" si="34"/>
        <v/>
      </c>
      <c r="M391" s="3">
        <v>2</v>
      </c>
      <c r="N391" s="3">
        <v>3</v>
      </c>
      <c r="O391" s="16">
        <v>76</v>
      </c>
    </row>
    <row r="392" spans="1:15" x14ac:dyDescent="0.25">
      <c r="A392" t="s">
        <v>115</v>
      </c>
      <c r="B392" s="3" t="s">
        <v>60</v>
      </c>
      <c r="C392" s="3" t="s">
        <v>114</v>
      </c>
      <c r="D392" s="18">
        <v>34</v>
      </c>
      <c r="E392" s="11">
        <v>10</v>
      </c>
      <c r="F392" s="9">
        <f t="shared" si="31"/>
        <v>340</v>
      </c>
      <c r="G392" s="3" t="str">
        <f t="shared" si="30"/>
        <v/>
      </c>
      <c r="H392" s="3">
        <v>0</v>
      </c>
      <c r="I392" s="3">
        <v>0</v>
      </c>
      <c r="J392" s="3" t="str">
        <f t="shared" si="32"/>
        <v/>
      </c>
      <c r="K392" s="3" t="str">
        <f t="shared" si="33"/>
        <v/>
      </c>
      <c r="L392" s="9" t="str">
        <f t="shared" si="34"/>
        <v/>
      </c>
      <c r="N392" s="3"/>
      <c r="O392" s="16">
        <v>34</v>
      </c>
    </row>
    <row r="393" spans="1:15" x14ac:dyDescent="0.25">
      <c r="A393" t="s">
        <v>401</v>
      </c>
      <c r="B393" s="3" t="s">
        <v>33</v>
      </c>
      <c r="C393" s="3" t="s">
        <v>9</v>
      </c>
      <c r="D393" s="18">
        <v>5</v>
      </c>
      <c r="E393" s="11">
        <v>0</v>
      </c>
      <c r="F393" s="9">
        <f t="shared" si="31"/>
        <v>0</v>
      </c>
      <c r="G393" s="3" t="str">
        <f t="shared" si="30"/>
        <v>BLOCK</v>
      </c>
      <c r="H393" s="3">
        <v>0</v>
      </c>
      <c r="I393" s="3">
        <v>0</v>
      </c>
      <c r="J393" s="3" t="str">
        <f t="shared" si="32"/>
        <v/>
      </c>
      <c r="K393" s="3" t="str">
        <f t="shared" si="33"/>
        <v/>
      </c>
      <c r="L393" s="9" t="str">
        <f t="shared" si="34"/>
        <v/>
      </c>
      <c r="N393" s="3"/>
      <c r="O393" s="16">
        <v>5</v>
      </c>
    </row>
    <row r="394" spans="1:15" x14ac:dyDescent="0.25">
      <c r="A394" t="s">
        <v>116</v>
      </c>
      <c r="B394" s="3" t="s">
        <v>33</v>
      </c>
      <c r="C394" s="3" t="s">
        <v>9</v>
      </c>
      <c r="D394" s="18">
        <v>2</v>
      </c>
      <c r="E394" s="11">
        <v>5</v>
      </c>
      <c r="F394" s="9">
        <f t="shared" si="31"/>
        <v>10</v>
      </c>
      <c r="G394" s="3" t="str">
        <f t="shared" si="30"/>
        <v/>
      </c>
      <c r="H394" s="3">
        <v>0</v>
      </c>
      <c r="I394" s="3">
        <v>0</v>
      </c>
      <c r="J394" s="3" t="str">
        <f t="shared" si="32"/>
        <v/>
      </c>
      <c r="K394" s="3" t="str">
        <f t="shared" si="33"/>
        <v/>
      </c>
      <c r="L394" s="9" t="str">
        <f t="shared" si="34"/>
        <v/>
      </c>
      <c r="N394" s="3">
        <v>1</v>
      </c>
      <c r="O394" s="16">
        <v>4</v>
      </c>
    </row>
    <row r="395" spans="1:15" x14ac:dyDescent="0.25">
      <c r="A395" t="s">
        <v>117</v>
      </c>
      <c r="B395" s="3" t="s">
        <v>33</v>
      </c>
      <c r="C395" s="3" t="s">
        <v>9</v>
      </c>
      <c r="D395" s="18">
        <v>3</v>
      </c>
      <c r="E395" s="11">
        <v>5</v>
      </c>
      <c r="F395" s="9">
        <f t="shared" si="31"/>
        <v>15</v>
      </c>
      <c r="G395" s="3" t="str">
        <f t="shared" si="30"/>
        <v/>
      </c>
      <c r="H395" s="3">
        <v>0</v>
      </c>
      <c r="I395" s="3">
        <v>0</v>
      </c>
      <c r="J395" s="3" t="str">
        <f t="shared" si="32"/>
        <v/>
      </c>
      <c r="K395" s="3" t="str">
        <f t="shared" si="33"/>
        <v/>
      </c>
      <c r="L395" s="9" t="str">
        <f t="shared" si="34"/>
        <v/>
      </c>
      <c r="N395" s="3"/>
      <c r="O395" s="16">
        <v>3</v>
      </c>
    </row>
    <row r="396" spans="1:15" x14ac:dyDescent="0.25">
      <c r="A396" t="s">
        <v>118</v>
      </c>
      <c r="B396" s="3" t="s">
        <v>33</v>
      </c>
      <c r="C396" s="3" t="s">
        <v>9</v>
      </c>
      <c r="D396" s="18">
        <v>2</v>
      </c>
      <c r="E396" s="11">
        <v>5</v>
      </c>
      <c r="F396" s="9">
        <f t="shared" si="31"/>
        <v>10</v>
      </c>
      <c r="G396" s="3" t="str">
        <f t="shared" si="30"/>
        <v/>
      </c>
      <c r="H396" s="3">
        <v>0</v>
      </c>
      <c r="I396" s="3">
        <v>0</v>
      </c>
      <c r="J396" s="3" t="str">
        <f t="shared" si="32"/>
        <v/>
      </c>
      <c r="K396" s="3" t="str">
        <f t="shared" si="33"/>
        <v/>
      </c>
      <c r="L396" s="9" t="str">
        <f t="shared" si="34"/>
        <v/>
      </c>
      <c r="N396" s="3"/>
      <c r="O396" s="16">
        <v>2</v>
      </c>
    </row>
    <row r="397" spans="1:15" x14ac:dyDescent="0.25">
      <c r="A397" t="s">
        <v>119</v>
      </c>
      <c r="B397" s="3" t="s">
        <v>33</v>
      </c>
      <c r="C397" s="3" t="s">
        <v>9</v>
      </c>
      <c r="D397" s="18">
        <v>5</v>
      </c>
      <c r="E397" s="11">
        <v>5</v>
      </c>
      <c r="F397" s="9">
        <f t="shared" si="31"/>
        <v>25</v>
      </c>
      <c r="G397" s="3" t="str">
        <f t="shared" si="30"/>
        <v/>
      </c>
      <c r="H397" s="3">
        <v>0</v>
      </c>
      <c r="I397" s="3">
        <v>0</v>
      </c>
      <c r="J397" s="3" t="str">
        <f t="shared" si="32"/>
        <v/>
      </c>
      <c r="K397" s="3" t="str">
        <f t="shared" si="33"/>
        <v/>
      </c>
      <c r="L397" s="9" t="str">
        <f t="shared" si="34"/>
        <v/>
      </c>
      <c r="N397" s="3"/>
      <c r="O397" s="16">
        <v>5</v>
      </c>
    </row>
    <row r="398" spans="1:15" x14ac:dyDescent="0.25">
      <c r="A398" t="s">
        <v>496</v>
      </c>
      <c r="B398" s="3" t="s">
        <v>60</v>
      </c>
      <c r="C398" s="3" t="s">
        <v>120</v>
      </c>
      <c r="D398" s="4">
        <v>350</v>
      </c>
      <c r="E398" s="11">
        <v>7.01</v>
      </c>
      <c r="F398" s="9">
        <f t="shared" si="31"/>
        <v>2453.5</v>
      </c>
      <c r="G398" s="3" t="str">
        <f t="shared" si="30"/>
        <v/>
      </c>
      <c r="J398" s="3" t="str">
        <f t="shared" si="32"/>
        <v/>
      </c>
      <c r="K398" s="3" t="str">
        <f t="shared" si="33"/>
        <v/>
      </c>
      <c r="L398" s="9" t="str">
        <f t="shared" si="34"/>
        <v/>
      </c>
      <c r="M398" s="3">
        <v>1</v>
      </c>
      <c r="N398" s="3"/>
      <c r="O398" s="15">
        <v>0</v>
      </c>
    </row>
    <row r="399" spans="1:15" x14ac:dyDescent="0.25">
      <c r="A399" t="s">
        <v>402</v>
      </c>
      <c r="B399" s="3" t="s">
        <v>362</v>
      </c>
      <c r="C399" s="3" t="s">
        <v>120</v>
      </c>
      <c r="D399" s="4">
        <v>9.0500000000000007</v>
      </c>
      <c r="E399" s="11">
        <v>78</v>
      </c>
      <c r="F399" s="9">
        <f t="shared" si="31"/>
        <v>705.90000000000009</v>
      </c>
      <c r="G399" s="3" t="str">
        <f t="shared" si="30"/>
        <v/>
      </c>
      <c r="J399" s="3" t="str">
        <f t="shared" si="32"/>
        <v/>
      </c>
      <c r="K399" s="3" t="str">
        <f t="shared" si="33"/>
        <v/>
      </c>
      <c r="L399" s="9" t="str">
        <f t="shared" si="34"/>
        <v/>
      </c>
      <c r="M399" s="3">
        <v>1</v>
      </c>
      <c r="N399" s="3">
        <v>5</v>
      </c>
      <c r="O399" s="15">
        <v>0</v>
      </c>
    </row>
    <row r="400" spans="1:15" x14ac:dyDescent="0.25">
      <c r="A400" t="s">
        <v>403</v>
      </c>
      <c r="B400" s="3" t="s">
        <v>362</v>
      </c>
      <c r="C400" s="3" t="s">
        <v>120</v>
      </c>
      <c r="D400" s="4">
        <v>-5</v>
      </c>
      <c r="E400" s="11">
        <v>118.2</v>
      </c>
      <c r="F400" s="9">
        <f t="shared" si="31"/>
        <v>-591</v>
      </c>
      <c r="G400" s="3" t="str">
        <f t="shared" si="30"/>
        <v/>
      </c>
      <c r="J400" s="3" t="str">
        <f t="shared" si="32"/>
        <v/>
      </c>
      <c r="K400" s="3" t="str">
        <f t="shared" si="33"/>
        <v/>
      </c>
      <c r="L400" s="9" t="str">
        <f t="shared" si="34"/>
        <v/>
      </c>
      <c r="M400" s="3">
        <v>1</v>
      </c>
      <c r="N400" s="3">
        <v>1</v>
      </c>
      <c r="O400" s="15">
        <v>0</v>
      </c>
    </row>
    <row r="401" spans="1:15" x14ac:dyDescent="0.25">
      <c r="A401" t="s">
        <v>404</v>
      </c>
      <c r="B401" s="3" t="s">
        <v>405</v>
      </c>
      <c r="C401" s="3" t="s">
        <v>120</v>
      </c>
      <c r="D401" s="4">
        <v>22</v>
      </c>
      <c r="E401" s="11">
        <v>30</v>
      </c>
      <c r="F401" s="9">
        <f t="shared" si="31"/>
        <v>660</v>
      </c>
      <c r="G401" s="3" t="str">
        <f t="shared" si="30"/>
        <v/>
      </c>
      <c r="J401" s="3" t="str">
        <f t="shared" si="32"/>
        <v/>
      </c>
      <c r="K401" s="3" t="str">
        <f t="shared" si="33"/>
        <v/>
      </c>
      <c r="L401" s="9" t="str">
        <f t="shared" si="34"/>
        <v/>
      </c>
      <c r="M401" s="3">
        <v>1</v>
      </c>
      <c r="N401" s="3">
        <v>4</v>
      </c>
      <c r="O401" s="15">
        <v>0</v>
      </c>
    </row>
    <row r="402" spans="1:15" x14ac:dyDescent="0.25">
      <c r="A402" t="s">
        <v>121</v>
      </c>
      <c r="B402" s="3" t="s">
        <v>83</v>
      </c>
      <c r="C402" s="3" t="s">
        <v>120</v>
      </c>
      <c r="D402" s="18">
        <v>2</v>
      </c>
      <c r="E402" s="11">
        <v>100</v>
      </c>
      <c r="F402" s="9">
        <f t="shared" si="31"/>
        <v>200</v>
      </c>
      <c r="G402" s="3" t="str">
        <f t="shared" si="30"/>
        <v/>
      </c>
      <c r="H402" s="3">
        <v>0</v>
      </c>
      <c r="I402" s="3">
        <v>0</v>
      </c>
      <c r="J402" s="3" t="str">
        <f t="shared" si="32"/>
        <v/>
      </c>
      <c r="K402" s="3" t="str">
        <f t="shared" si="33"/>
        <v/>
      </c>
      <c r="L402" s="9" t="str">
        <f t="shared" si="34"/>
        <v/>
      </c>
      <c r="N402" s="3"/>
      <c r="O402" s="16">
        <v>2</v>
      </c>
    </row>
    <row r="403" spans="1:15" x14ac:dyDescent="0.25">
      <c r="A403" t="s">
        <v>406</v>
      </c>
      <c r="B403" s="3" t="s">
        <v>33</v>
      </c>
      <c r="C403" s="3" t="s">
        <v>407</v>
      </c>
      <c r="D403" s="18">
        <v>9</v>
      </c>
      <c r="E403" s="11">
        <v>3.87</v>
      </c>
      <c r="F403" s="9">
        <f t="shared" si="31"/>
        <v>34.83</v>
      </c>
      <c r="G403" s="3" t="str">
        <f t="shared" si="30"/>
        <v/>
      </c>
      <c r="H403" s="3">
        <v>0</v>
      </c>
      <c r="I403" s="3">
        <v>0</v>
      </c>
      <c r="J403" s="3" t="str">
        <f t="shared" si="32"/>
        <v/>
      </c>
      <c r="K403" s="3" t="str">
        <f t="shared" si="33"/>
        <v/>
      </c>
      <c r="L403" s="9" t="str">
        <f t="shared" si="34"/>
        <v/>
      </c>
      <c r="N403" s="3"/>
      <c r="O403" s="16">
        <v>9</v>
      </c>
    </row>
    <row r="404" spans="1:15" x14ac:dyDescent="0.25">
      <c r="A404" t="s">
        <v>408</v>
      </c>
      <c r="B404" s="3" t="s">
        <v>33</v>
      </c>
      <c r="C404" s="3" t="s">
        <v>407</v>
      </c>
      <c r="D404" s="18">
        <v>5</v>
      </c>
      <c r="E404" s="11">
        <v>0.1</v>
      </c>
      <c r="F404" s="9">
        <f t="shared" si="31"/>
        <v>0.5</v>
      </c>
      <c r="G404" s="3" t="str">
        <f t="shared" si="30"/>
        <v/>
      </c>
      <c r="H404" s="3">
        <v>0</v>
      </c>
      <c r="I404" s="3">
        <v>0</v>
      </c>
      <c r="J404" s="3" t="str">
        <f t="shared" si="32"/>
        <v/>
      </c>
      <c r="K404" s="3" t="str">
        <f t="shared" si="33"/>
        <v/>
      </c>
      <c r="L404" s="9" t="str">
        <f t="shared" si="34"/>
        <v/>
      </c>
      <c r="N404" s="3"/>
      <c r="O404" s="16">
        <v>5</v>
      </c>
    </row>
    <row r="405" spans="1:15" x14ac:dyDescent="0.25">
      <c r="A405" t="s">
        <v>409</v>
      </c>
      <c r="B405" s="3" t="s">
        <v>410</v>
      </c>
      <c r="C405" s="3" t="s">
        <v>407</v>
      </c>
      <c r="D405" s="4">
        <v>10</v>
      </c>
      <c r="E405" s="11">
        <v>1.92</v>
      </c>
      <c r="F405" s="9">
        <f t="shared" si="31"/>
        <v>19.2</v>
      </c>
      <c r="G405" s="3" t="str">
        <f t="shared" si="30"/>
        <v/>
      </c>
      <c r="J405" s="3" t="str">
        <f t="shared" si="32"/>
        <v/>
      </c>
      <c r="K405" s="3" t="str">
        <f t="shared" si="33"/>
        <v/>
      </c>
      <c r="L405" s="9" t="str">
        <f t="shared" si="34"/>
        <v/>
      </c>
      <c r="M405" s="3">
        <v>1</v>
      </c>
      <c r="N405" s="3"/>
      <c r="O405" s="15">
        <v>0</v>
      </c>
    </row>
    <row r="406" spans="1:15" x14ac:dyDescent="0.25">
      <c r="A406" t="s">
        <v>411</v>
      </c>
      <c r="B406" s="3" t="s">
        <v>33</v>
      </c>
      <c r="C406" s="3" t="s">
        <v>407</v>
      </c>
      <c r="D406" s="18">
        <v>3</v>
      </c>
      <c r="E406" s="11">
        <v>3.98</v>
      </c>
      <c r="F406" s="9">
        <f t="shared" si="31"/>
        <v>11.94</v>
      </c>
      <c r="G406" s="3" t="str">
        <f t="shared" si="30"/>
        <v/>
      </c>
      <c r="H406" s="3">
        <v>0</v>
      </c>
      <c r="I406" s="3">
        <v>0</v>
      </c>
      <c r="J406" s="3" t="str">
        <f t="shared" si="32"/>
        <v/>
      </c>
      <c r="K406" s="3" t="str">
        <f t="shared" si="33"/>
        <v/>
      </c>
      <c r="L406" s="9" t="str">
        <f t="shared" si="34"/>
        <v/>
      </c>
      <c r="N406" s="3"/>
      <c r="O406" s="16">
        <v>3</v>
      </c>
    </row>
    <row r="407" spans="1:15" x14ac:dyDescent="0.25">
      <c r="A407" t="s">
        <v>412</v>
      </c>
      <c r="B407" s="3" t="s">
        <v>33</v>
      </c>
      <c r="C407" s="3" t="s">
        <v>407</v>
      </c>
      <c r="D407" s="4">
        <v>49</v>
      </c>
      <c r="E407" s="11">
        <v>0.16</v>
      </c>
      <c r="F407" s="9">
        <f t="shared" si="31"/>
        <v>7.84</v>
      </c>
      <c r="G407" s="3" t="str">
        <f t="shared" si="30"/>
        <v/>
      </c>
      <c r="J407" s="3" t="str">
        <f t="shared" si="32"/>
        <v/>
      </c>
      <c r="K407" s="3" t="str">
        <f t="shared" si="33"/>
        <v/>
      </c>
      <c r="L407" s="9" t="str">
        <f t="shared" si="34"/>
        <v/>
      </c>
      <c r="M407" s="3">
        <v>1</v>
      </c>
      <c r="N407" s="3">
        <v>1</v>
      </c>
      <c r="O407" s="15">
        <v>0</v>
      </c>
    </row>
    <row r="408" spans="1:15" x14ac:dyDescent="0.25">
      <c r="A408" t="s">
        <v>413</v>
      </c>
      <c r="B408" s="3" t="s">
        <v>33</v>
      </c>
      <c r="C408" s="3" t="s">
        <v>407</v>
      </c>
      <c r="D408" s="4">
        <v>50</v>
      </c>
      <c r="E408" s="11">
        <v>0.16</v>
      </c>
      <c r="F408" s="9">
        <f t="shared" si="31"/>
        <v>8</v>
      </c>
      <c r="G408" s="3" t="str">
        <f t="shared" si="30"/>
        <v/>
      </c>
      <c r="J408" s="3" t="str">
        <f t="shared" si="32"/>
        <v/>
      </c>
      <c r="K408" s="3" t="str">
        <f t="shared" si="33"/>
        <v/>
      </c>
      <c r="L408" s="9" t="str">
        <f t="shared" si="34"/>
        <v/>
      </c>
      <c r="M408" s="3">
        <v>1</v>
      </c>
      <c r="N408" s="3"/>
      <c r="O408" s="15">
        <v>0</v>
      </c>
    </row>
    <row r="409" spans="1:15" x14ac:dyDescent="0.25">
      <c r="A409" t="s">
        <v>414</v>
      </c>
      <c r="B409" s="3" t="s">
        <v>33</v>
      </c>
      <c r="C409" s="3" t="s">
        <v>407</v>
      </c>
      <c r="D409" s="4">
        <v>0</v>
      </c>
      <c r="E409" s="11">
        <v>3.3600000000000003</v>
      </c>
      <c r="F409" s="9">
        <f t="shared" si="31"/>
        <v>0</v>
      </c>
      <c r="G409" s="3" t="str">
        <f t="shared" si="30"/>
        <v/>
      </c>
      <c r="J409" s="3" t="str">
        <f t="shared" si="32"/>
        <v/>
      </c>
      <c r="K409" s="3" t="str">
        <f t="shared" si="33"/>
        <v/>
      </c>
      <c r="L409" s="9" t="str">
        <f t="shared" si="34"/>
        <v/>
      </c>
      <c r="M409" s="3">
        <v>1</v>
      </c>
      <c r="N409" s="3">
        <v>2</v>
      </c>
      <c r="O409" s="15">
        <v>0</v>
      </c>
    </row>
    <row r="410" spans="1:15" x14ac:dyDescent="0.25">
      <c r="A410" t="s">
        <v>415</v>
      </c>
      <c r="B410" s="3" t="s">
        <v>33</v>
      </c>
      <c r="C410" s="3" t="s">
        <v>407</v>
      </c>
      <c r="D410" s="4">
        <v>0</v>
      </c>
      <c r="E410" s="11">
        <v>0.97</v>
      </c>
      <c r="F410" s="9">
        <f t="shared" si="31"/>
        <v>0</v>
      </c>
      <c r="G410" s="3" t="str">
        <f t="shared" si="30"/>
        <v/>
      </c>
      <c r="J410" s="3" t="str">
        <f t="shared" si="32"/>
        <v/>
      </c>
      <c r="K410" s="3" t="str">
        <f t="shared" si="33"/>
        <v/>
      </c>
      <c r="L410" s="9" t="str">
        <f t="shared" si="34"/>
        <v/>
      </c>
      <c r="M410" s="3">
        <v>1</v>
      </c>
      <c r="N410" s="3">
        <v>1</v>
      </c>
      <c r="O410" s="15">
        <v>0</v>
      </c>
    </row>
    <row r="411" spans="1:15" x14ac:dyDescent="0.25">
      <c r="A411" t="s">
        <v>416</v>
      </c>
      <c r="B411" s="3" t="s">
        <v>33</v>
      </c>
      <c r="C411" s="3" t="s">
        <v>407</v>
      </c>
      <c r="D411" s="4">
        <v>0</v>
      </c>
      <c r="E411" s="11">
        <v>2.09</v>
      </c>
      <c r="F411" s="9">
        <f t="shared" si="31"/>
        <v>0</v>
      </c>
      <c r="G411" s="3" t="str">
        <f t="shared" si="30"/>
        <v/>
      </c>
      <c r="J411" s="3" t="str">
        <f t="shared" si="32"/>
        <v/>
      </c>
      <c r="K411" s="3" t="str">
        <f t="shared" si="33"/>
        <v/>
      </c>
      <c r="L411" s="9" t="str">
        <f t="shared" si="34"/>
        <v/>
      </c>
      <c r="M411" s="3">
        <v>1</v>
      </c>
      <c r="N411" s="3">
        <v>1</v>
      </c>
      <c r="O411" s="15">
        <v>0</v>
      </c>
    </row>
    <row r="412" spans="1:15" x14ac:dyDescent="0.25">
      <c r="A412" t="s">
        <v>417</v>
      </c>
      <c r="B412" s="3" t="s">
        <v>33</v>
      </c>
      <c r="C412" s="3" t="s">
        <v>407</v>
      </c>
      <c r="D412" s="4">
        <v>11</v>
      </c>
      <c r="E412" s="11">
        <v>0.08</v>
      </c>
      <c r="F412" s="9">
        <f t="shared" si="31"/>
        <v>0.88</v>
      </c>
      <c r="G412" s="3" t="str">
        <f t="shared" si="30"/>
        <v/>
      </c>
      <c r="J412" s="3" t="str">
        <f t="shared" si="32"/>
        <v/>
      </c>
      <c r="K412" s="3" t="str">
        <f t="shared" si="33"/>
        <v/>
      </c>
      <c r="L412" s="9" t="str">
        <f t="shared" si="34"/>
        <v/>
      </c>
      <c r="M412" s="3">
        <v>1</v>
      </c>
      <c r="N412" s="3">
        <v>1</v>
      </c>
      <c r="O412" s="15">
        <v>0</v>
      </c>
    </row>
    <row r="413" spans="1:15" x14ac:dyDescent="0.25">
      <c r="A413" t="s">
        <v>418</v>
      </c>
      <c r="B413" s="3" t="s">
        <v>33</v>
      </c>
      <c r="C413" s="3" t="s">
        <v>407</v>
      </c>
      <c r="D413" s="4">
        <v>11</v>
      </c>
      <c r="E413" s="11">
        <v>0.36000000000000004</v>
      </c>
      <c r="F413" s="9">
        <f t="shared" si="31"/>
        <v>3.9600000000000004</v>
      </c>
      <c r="G413" s="3" t="str">
        <f t="shared" si="30"/>
        <v/>
      </c>
      <c r="J413" s="3" t="str">
        <f t="shared" si="32"/>
        <v/>
      </c>
      <c r="K413" s="3" t="str">
        <f t="shared" si="33"/>
        <v/>
      </c>
      <c r="L413" s="9" t="str">
        <f t="shared" si="34"/>
        <v/>
      </c>
      <c r="M413" s="3">
        <v>1</v>
      </c>
      <c r="N413" s="3">
        <v>1</v>
      </c>
      <c r="O413" s="15">
        <v>0</v>
      </c>
    </row>
    <row r="414" spans="1:15" x14ac:dyDescent="0.25">
      <c r="A414" t="s">
        <v>419</v>
      </c>
      <c r="B414" s="3" t="s">
        <v>33</v>
      </c>
      <c r="C414" s="3" t="s">
        <v>407</v>
      </c>
      <c r="D414" s="4">
        <v>0</v>
      </c>
      <c r="E414" s="11">
        <v>0.55000000000000004</v>
      </c>
      <c r="F414" s="9">
        <f t="shared" si="31"/>
        <v>0</v>
      </c>
      <c r="G414" s="3" t="str">
        <f t="shared" si="30"/>
        <v/>
      </c>
      <c r="J414" s="3" t="str">
        <f t="shared" si="32"/>
        <v/>
      </c>
      <c r="K414" s="3" t="str">
        <f t="shared" si="33"/>
        <v/>
      </c>
      <c r="L414" s="9" t="str">
        <f t="shared" si="34"/>
        <v/>
      </c>
      <c r="M414" s="3">
        <v>1</v>
      </c>
      <c r="N414" s="3">
        <v>1</v>
      </c>
      <c r="O414" s="15">
        <v>0</v>
      </c>
    </row>
    <row r="415" spans="1:15" x14ac:dyDescent="0.25">
      <c r="A415" t="s">
        <v>420</v>
      </c>
      <c r="B415" s="3" t="s">
        <v>33</v>
      </c>
      <c r="C415" s="3" t="s">
        <v>407</v>
      </c>
      <c r="D415" s="4">
        <v>0</v>
      </c>
      <c r="E415" s="11">
        <v>0.55000000000000004</v>
      </c>
      <c r="F415" s="9">
        <f t="shared" si="31"/>
        <v>0</v>
      </c>
      <c r="G415" s="3" t="str">
        <f t="shared" si="30"/>
        <v/>
      </c>
      <c r="J415" s="3" t="str">
        <f t="shared" si="32"/>
        <v/>
      </c>
      <c r="K415" s="3" t="str">
        <f t="shared" si="33"/>
        <v/>
      </c>
      <c r="L415" s="9" t="str">
        <f t="shared" si="34"/>
        <v/>
      </c>
      <c r="M415" s="3">
        <v>1</v>
      </c>
      <c r="N415" s="3">
        <v>1</v>
      </c>
      <c r="O415" s="15">
        <v>0</v>
      </c>
    </row>
    <row r="416" spans="1:15" x14ac:dyDescent="0.25">
      <c r="A416" t="s">
        <v>421</v>
      </c>
      <c r="B416" s="3" t="s">
        <v>33</v>
      </c>
      <c r="C416" s="3" t="s">
        <v>407</v>
      </c>
      <c r="D416" s="4">
        <v>0</v>
      </c>
      <c r="E416" s="11">
        <v>0.75</v>
      </c>
      <c r="F416" s="9">
        <f t="shared" si="31"/>
        <v>0</v>
      </c>
      <c r="G416" s="3" t="str">
        <f t="shared" si="30"/>
        <v/>
      </c>
      <c r="J416" s="3" t="str">
        <f t="shared" si="32"/>
        <v/>
      </c>
      <c r="K416" s="3" t="str">
        <f t="shared" si="33"/>
        <v/>
      </c>
      <c r="L416" s="9" t="str">
        <f t="shared" si="34"/>
        <v/>
      </c>
      <c r="M416" s="3">
        <v>1</v>
      </c>
      <c r="N416" s="3">
        <v>1</v>
      </c>
      <c r="O416" s="15">
        <v>0</v>
      </c>
    </row>
    <row r="417" spans="1:15" x14ac:dyDescent="0.25">
      <c r="A417" t="s">
        <v>422</v>
      </c>
      <c r="B417" s="3" t="s">
        <v>33</v>
      </c>
      <c r="C417" s="3" t="s">
        <v>407</v>
      </c>
      <c r="D417" s="4">
        <v>0</v>
      </c>
      <c r="E417" s="11">
        <v>3</v>
      </c>
      <c r="F417" s="9">
        <f t="shared" si="31"/>
        <v>0</v>
      </c>
      <c r="G417" s="3" t="str">
        <f t="shared" si="30"/>
        <v/>
      </c>
      <c r="J417" s="3" t="str">
        <f t="shared" si="32"/>
        <v/>
      </c>
      <c r="K417" s="3" t="str">
        <f t="shared" si="33"/>
        <v/>
      </c>
      <c r="L417" s="9" t="str">
        <f t="shared" si="34"/>
        <v/>
      </c>
      <c r="M417" s="3">
        <v>1</v>
      </c>
      <c r="N417" s="3">
        <v>2</v>
      </c>
      <c r="O417" s="15">
        <v>0</v>
      </c>
    </row>
    <row r="418" spans="1:15" x14ac:dyDescent="0.25">
      <c r="A418" t="s">
        <v>423</v>
      </c>
      <c r="B418" s="3" t="s">
        <v>33</v>
      </c>
      <c r="C418" s="3" t="s">
        <v>407</v>
      </c>
      <c r="D418" s="4">
        <v>0</v>
      </c>
      <c r="E418" s="11">
        <v>4.54</v>
      </c>
      <c r="F418" s="9">
        <f t="shared" si="31"/>
        <v>0</v>
      </c>
      <c r="G418" s="3" t="str">
        <f t="shared" si="30"/>
        <v/>
      </c>
      <c r="J418" s="3" t="str">
        <f t="shared" si="32"/>
        <v/>
      </c>
      <c r="K418" s="3" t="str">
        <f t="shared" si="33"/>
        <v/>
      </c>
      <c r="L418" s="9" t="str">
        <f t="shared" si="34"/>
        <v/>
      </c>
      <c r="M418" s="3">
        <v>1</v>
      </c>
      <c r="N418" s="3">
        <v>1</v>
      </c>
      <c r="O418" s="15">
        <v>0</v>
      </c>
    </row>
    <row r="419" spans="1:15" x14ac:dyDescent="0.25">
      <c r="A419" t="s">
        <v>424</v>
      </c>
      <c r="B419" s="3" t="s">
        <v>33</v>
      </c>
      <c r="C419" s="3" t="s">
        <v>407</v>
      </c>
      <c r="D419" s="4">
        <v>0</v>
      </c>
      <c r="E419" s="11">
        <v>0.37</v>
      </c>
      <c r="F419" s="9">
        <f t="shared" si="31"/>
        <v>0</v>
      </c>
      <c r="G419" s="3" t="str">
        <f t="shared" si="30"/>
        <v/>
      </c>
      <c r="J419" s="3" t="str">
        <f t="shared" si="32"/>
        <v/>
      </c>
      <c r="K419" s="3" t="str">
        <f t="shared" si="33"/>
        <v/>
      </c>
      <c r="L419" s="9" t="str">
        <f t="shared" si="34"/>
        <v/>
      </c>
      <c r="M419" s="3">
        <v>1</v>
      </c>
      <c r="N419" s="3">
        <v>1</v>
      </c>
      <c r="O419" s="15">
        <v>0</v>
      </c>
    </row>
    <row r="420" spans="1:15" x14ac:dyDescent="0.25">
      <c r="A420" t="s">
        <v>425</v>
      </c>
      <c r="B420" s="3" t="s">
        <v>410</v>
      </c>
      <c r="C420" s="3" t="s">
        <v>407</v>
      </c>
      <c r="D420" s="4">
        <v>5</v>
      </c>
      <c r="E420" s="11">
        <v>4.5</v>
      </c>
      <c r="F420" s="9">
        <f t="shared" si="31"/>
        <v>22.5</v>
      </c>
      <c r="G420" s="3" t="str">
        <f t="shared" si="30"/>
        <v/>
      </c>
      <c r="J420" s="3" t="str">
        <f t="shared" si="32"/>
        <v/>
      </c>
      <c r="K420" s="3" t="str">
        <f t="shared" si="33"/>
        <v/>
      </c>
      <c r="L420" s="9" t="str">
        <f t="shared" si="34"/>
        <v/>
      </c>
      <c r="M420" s="3">
        <v>1</v>
      </c>
      <c r="N420" s="3"/>
      <c r="O420" s="15">
        <v>0</v>
      </c>
    </row>
    <row r="421" spans="1:15" x14ac:dyDescent="0.25">
      <c r="A421" t="s">
        <v>426</v>
      </c>
      <c r="B421" s="3" t="s">
        <v>410</v>
      </c>
      <c r="C421" s="3" t="s">
        <v>407</v>
      </c>
      <c r="D421" s="4">
        <v>5</v>
      </c>
      <c r="E421" s="11">
        <v>4.5</v>
      </c>
      <c r="F421" s="9">
        <f t="shared" si="31"/>
        <v>22.5</v>
      </c>
      <c r="G421" s="3" t="str">
        <f t="shared" si="30"/>
        <v/>
      </c>
      <c r="J421" s="3" t="str">
        <f t="shared" si="32"/>
        <v/>
      </c>
      <c r="K421" s="3" t="str">
        <f t="shared" si="33"/>
        <v/>
      </c>
      <c r="L421" s="9" t="str">
        <f t="shared" si="34"/>
        <v/>
      </c>
      <c r="M421" s="3">
        <v>1</v>
      </c>
      <c r="N421" s="3"/>
      <c r="O421" s="15">
        <v>0</v>
      </c>
    </row>
    <row r="422" spans="1:15" x14ac:dyDescent="0.25">
      <c r="A422" t="s">
        <v>427</v>
      </c>
      <c r="B422" s="3" t="s">
        <v>33</v>
      </c>
      <c r="C422" s="3" t="s">
        <v>407</v>
      </c>
      <c r="D422" s="18">
        <v>2</v>
      </c>
      <c r="E422" s="11">
        <v>0.97</v>
      </c>
      <c r="F422" s="9">
        <f t="shared" si="31"/>
        <v>1.94</v>
      </c>
      <c r="G422" s="3" t="str">
        <f t="shared" si="30"/>
        <v/>
      </c>
      <c r="H422" s="3">
        <v>0</v>
      </c>
      <c r="I422" s="3">
        <v>0</v>
      </c>
      <c r="J422" s="3" t="str">
        <f t="shared" si="32"/>
        <v/>
      </c>
      <c r="K422" s="3" t="str">
        <f t="shared" si="33"/>
        <v/>
      </c>
      <c r="L422" s="9" t="str">
        <f t="shared" si="34"/>
        <v/>
      </c>
      <c r="N422" s="3"/>
      <c r="O422" s="16">
        <v>2</v>
      </c>
    </row>
    <row r="423" spans="1:15" x14ac:dyDescent="0.25">
      <c r="A423" t="s">
        <v>428</v>
      </c>
      <c r="B423" s="3" t="s">
        <v>33</v>
      </c>
      <c r="C423" s="3" t="s">
        <v>407</v>
      </c>
      <c r="D423" s="18">
        <v>1</v>
      </c>
      <c r="E423" s="11">
        <v>0.59</v>
      </c>
      <c r="F423" s="9">
        <f t="shared" si="31"/>
        <v>0.59</v>
      </c>
      <c r="G423" s="3" t="str">
        <f t="shared" ref="G423:G427" si="35">IF(E423=0,"BLOCK","")</f>
        <v/>
      </c>
      <c r="H423" s="3">
        <v>0</v>
      </c>
      <c r="I423" s="3">
        <v>0</v>
      </c>
      <c r="J423" s="3" t="str">
        <f t="shared" si="32"/>
        <v/>
      </c>
      <c r="K423" s="3" t="str">
        <f t="shared" si="33"/>
        <v/>
      </c>
      <c r="L423" s="9" t="str">
        <f t="shared" si="34"/>
        <v/>
      </c>
      <c r="N423" s="3"/>
      <c r="O423" s="16">
        <v>1</v>
      </c>
    </row>
    <row r="424" spans="1:15" x14ac:dyDescent="0.25">
      <c r="A424" t="s">
        <v>429</v>
      </c>
      <c r="B424" s="3" t="s">
        <v>33</v>
      </c>
      <c r="C424" s="3" t="s">
        <v>407</v>
      </c>
      <c r="D424" s="18">
        <v>2</v>
      </c>
      <c r="E424" s="11">
        <v>1.8</v>
      </c>
      <c r="F424" s="9">
        <f t="shared" si="31"/>
        <v>3.6</v>
      </c>
      <c r="G424" s="3" t="str">
        <f t="shared" si="35"/>
        <v/>
      </c>
      <c r="H424" s="3">
        <v>0</v>
      </c>
      <c r="I424" s="3">
        <v>0</v>
      </c>
      <c r="J424" s="3" t="str">
        <f t="shared" si="32"/>
        <v/>
      </c>
      <c r="K424" s="3" t="str">
        <f t="shared" si="33"/>
        <v/>
      </c>
      <c r="L424" s="9" t="str">
        <f t="shared" si="34"/>
        <v/>
      </c>
      <c r="N424" s="3"/>
      <c r="O424" s="16">
        <v>2</v>
      </c>
    </row>
    <row r="425" spans="1:15" x14ac:dyDescent="0.25">
      <c r="A425" t="s">
        <v>430</v>
      </c>
      <c r="B425" s="3" t="s">
        <v>410</v>
      </c>
      <c r="C425" s="3" t="s">
        <v>407</v>
      </c>
      <c r="D425" s="4">
        <v>5</v>
      </c>
      <c r="E425" s="11">
        <v>1.92</v>
      </c>
      <c r="F425" s="9">
        <f t="shared" si="31"/>
        <v>9.6</v>
      </c>
      <c r="G425" s="3" t="str">
        <f t="shared" si="35"/>
        <v/>
      </c>
      <c r="J425" s="3" t="str">
        <f t="shared" si="32"/>
        <v/>
      </c>
      <c r="K425" s="3" t="str">
        <f t="shared" si="33"/>
        <v/>
      </c>
      <c r="L425" s="9" t="str">
        <f t="shared" si="34"/>
        <v/>
      </c>
      <c r="M425" s="3">
        <v>1</v>
      </c>
      <c r="N425" s="3"/>
      <c r="O425" s="15">
        <v>0</v>
      </c>
    </row>
    <row r="426" spans="1:15" x14ac:dyDescent="0.25">
      <c r="A426" t="s">
        <v>431</v>
      </c>
      <c r="B426" s="3" t="s">
        <v>33</v>
      </c>
      <c r="C426" s="3" t="s">
        <v>407</v>
      </c>
      <c r="D426" s="4">
        <v>50</v>
      </c>
      <c r="E426" s="11">
        <v>0.14000000000000001</v>
      </c>
      <c r="F426" s="9">
        <f t="shared" si="31"/>
        <v>7.0000000000000009</v>
      </c>
      <c r="G426" s="3" t="str">
        <f t="shared" si="35"/>
        <v/>
      </c>
      <c r="J426" s="3" t="str">
        <f t="shared" si="32"/>
        <v/>
      </c>
      <c r="K426" s="3" t="str">
        <f t="shared" si="33"/>
        <v/>
      </c>
      <c r="L426" s="9" t="str">
        <f t="shared" si="34"/>
        <v/>
      </c>
      <c r="M426" s="3">
        <v>1</v>
      </c>
      <c r="N426" s="3"/>
      <c r="O426" s="15">
        <v>0</v>
      </c>
    </row>
    <row r="427" spans="1:15" x14ac:dyDescent="0.25">
      <c r="A427" t="s">
        <v>432</v>
      </c>
      <c r="B427" s="3" t="s">
        <v>33</v>
      </c>
      <c r="C427" s="3" t="s">
        <v>407</v>
      </c>
      <c r="D427" s="4">
        <v>0</v>
      </c>
      <c r="E427" s="11">
        <v>1.01</v>
      </c>
      <c r="F427" s="9">
        <f t="shared" si="31"/>
        <v>0</v>
      </c>
      <c r="G427" s="3" t="str">
        <f t="shared" si="35"/>
        <v/>
      </c>
      <c r="J427" s="3" t="str">
        <f t="shared" si="32"/>
        <v/>
      </c>
      <c r="K427" s="3" t="str">
        <f t="shared" si="33"/>
        <v/>
      </c>
      <c r="L427" s="9" t="str">
        <f t="shared" si="34"/>
        <v/>
      </c>
      <c r="M427" s="3">
        <v>1</v>
      </c>
      <c r="N427" s="3">
        <v>1</v>
      </c>
      <c r="O427" s="15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96"/>
  <sheetViews>
    <sheetView workbookViewId="0">
      <selection sqref="A1:XFD1048576"/>
    </sheetView>
  </sheetViews>
  <sheetFormatPr defaultRowHeight="15" x14ac:dyDescent="0.25"/>
  <cols>
    <col min="1" max="1" width="44.42578125" style="13" customWidth="1"/>
  </cols>
  <sheetData>
    <row r="1" spans="1:1" s="12" customFormat="1" ht="27" customHeight="1" x14ac:dyDescent="0.25">
      <c r="A1" s="12" t="s">
        <v>122</v>
      </c>
    </row>
    <row r="2" spans="1:1" x14ac:dyDescent="0.25">
      <c r="A2" t="s">
        <v>504</v>
      </c>
    </row>
    <row r="3" spans="1:1" x14ac:dyDescent="0.25">
      <c r="A3" t="s">
        <v>123</v>
      </c>
    </row>
    <row r="4" spans="1:1" x14ac:dyDescent="0.25">
      <c r="A4" t="s">
        <v>505</v>
      </c>
    </row>
    <row r="5" spans="1:1" x14ac:dyDescent="0.25">
      <c r="A5" t="s">
        <v>497</v>
      </c>
    </row>
    <row r="6" spans="1:1" x14ac:dyDescent="0.25">
      <c r="A6" t="s">
        <v>506</v>
      </c>
    </row>
    <row r="7" spans="1:1" x14ac:dyDescent="0.25">
      <c r="A7" t="s">
        <v>507</v>
      </c>
    </row>
    <row r="8" spans="1:1" x14ac:dyDescent="0.25">
      <c r="A8" t="s">
        <v>508</v>
      </c>
    </row>
    <row r="9" spans="1:1" x14ac:dyDescent="0.25">
      <c r="A9" t="s">
        <v>498</v>
      </c>
    </row>
    <row r="10" spans="1:1" x14ac:dyDescent="0.25">
      <c r="A10" s="2" t="s">
        <v>509</v>
      </c>
    </row>
    <row r="11" spans="1:1" x14ac:dyDescent="0.25">
      <c r="A11" t="s">
        <v>510</v>
      </c>
    </row>
    <row r="12" spans="1:1" x14ac:dyDescent="0.25">
      <c r="A12" t="s">
        <v>511</v>
      </c>
    </row>
    <row r="13" spans="1:1" x14ac:dyDescent="0.25">
      <c r="A13" t="s">
        <v>499</v>
      </c>
    </row>
    <row r="14" spans="1:1" x14ac:dyDescent="0.25">
      <c r="A14" s="13" t="s">
        <v>500</v>
      </c>
    </row>
    <row r="15" spans="1:1" x14ac:dyDescent="0.25">
      <c r="A15" t="s">
        <v>42</v>
      </c>
    </row>
    <row r="16" spans="1:1" x14ac:dyDescent="0.25">
      <c r="A16" t="s">
        <v>512</v>
      </c>
    </row>
    <row r="17" spans="1:1" x14ac:dyDescent="0.25">
      <c r="A17" t="s">
        <v>513</v>
      </c>
    </row>
    <row r="18" spans="1:1" x14ac:dyDescent="0.25">
      <c r="A18" s="13" t="s">
        <v>514</v>
      </c>
    </row>
    <row r="19" spans="1:1" x14ac:dyDescent="0.25">
      <c r="A19" s="19" t="s">
        <v>533</v>
      </c>
    </row>
    <row r="20" spans="1:1" x14ac:dyDescent="0.25">
      <c r="A20" s="13" t="s">
        <v>515</v>
      </c>
    </row>
    <row r="21" spans="1:1" x14ac:dyDescent="0.25">
      <c r="A21" t="s">
        <v>501</v>
      </c>
    </row>
    <row r="22" spans="1:1" x14ac:dyDescent="0.25">
      <c r="A22" s="13" t="s">
        <v>516</v>
      </c>
    </row>
    <row r="23" spans="1:1" x14ac:dyDescent="0.25">
      <c r="A23" s="13" t="s">
        <v>517</v>
      </c>
    </row>
    <row r="24" spans="1:1" x14ac:dyDescent="0.25">
      <c r="A24" t="s">
        <v>534</v>
      </c>
    </row>
    <row r="25" spans="1:1" x14ac:dyDescent="0.25">
      <c r="A25" t="s">
        <v>502</v>
      </c>
    </row>
    <row r="26" spans="1:1" x14ac:dyDescent="0.25">
      <c r="A26" t="s">
        <v>518</v>
      </c>
    </row>
    <row r="27" spans="1:1" x14ac:dyDescent="0.25">
      <c r="A27" t="s">
        <v>519</v>
      </c>
    </row>
    <row r="28" spans="1:1" x14ac:dyDescent="0.25">
      <c r="A28" t="s">
        <v>520</v>
      </c>
    </row>
    <row r="29" spans="1:1" x14ac:dyDescent="0.25">
      <c r="A29" t="s">
        <v>521</v>
      </c>
    </row>
    <row r="30" spans="1:1" x14ac:dyDescent="0.25">
      <c r="A30" t="s">
        <v>522</v>
      </c>
    </row>
    <row r="31" spans="1:1" x14ac:dyDescent="0.25">
      <c r="A31" t="s">
        <v>523</v>
      </c>
    </row>
    <row r="32" spans="1:1" x14ac:dyDescent="0.25">
      <c r="A32" t="s">
        <v>524</v>
      </c>
    </row>
    <row r="33" spans="1:1" x14ac:dyDescent="0.25">
      <c r="A33" t="s">
        <v>525</v>
      </c>
    </row>
    <row r="34" spans="1:1" x14ac:dyDescent="0.25">
      <c r="A34" t="s">
        <v>526</v>
      </c>
    </row>
    <row r="35" spans="1:1" x14ac:dyDescent="0.25">
      <c r="A35" t="s">
        <v>527</v>
      </c>
    </row>
    <row r="36" spans="1:1" x14ac:dyDescent="0.25">
      <c r="A36" t="s">
        <v>528</v>
      </c>
    </row>
    <row r="37" spans="1:1" x14ac:dyDescent="0.25">
      <c r="A37" t="s">
        <v>503</v>
      </c>
    </row>
    <row r="38" spans="1:1" x14ac:dyDescent="0.25">
      <c r="A38" t="s">
        <v>529</v>
      </c>
    </row>
    <row r="39" spans="1:1" x14ac:dyDescent="0.25">
      <c r="A39" t="s">
        <v>530</v>
      </c>
    </row>
    <row r="40" spans="1:1" x14ac:dyDescent="0.25">
      <c r="A40" t="s">
        <v>531</v>
      </c>
    </row>
    <row r="41" spans="1:1" x14ac:dyDescent="0.25">
      <c r="A41" t="s">
        <v>535</v>
      </c>
    </row>
    <row r="42" spans="1:1" x14ac:dyDescent="0.25">
      <c r="A42" t="s">
        <v>532</v>
      </c>
    </row>
    <row r="43" spans="1:1" x14ac:dyDescent="0.25">
      <c r="A43"/>
    </row>
    <row r="47" spans="1:1" x14ac:dyDescent="0.25">
      <c r="A47"/>
    </row>
    <row r="48" spans="1:1" x14ac:dyDescent="0.25">
      <c r="A48"/>
    </row>
    <row r="49" spans="1:1" x14ac:dyDescent="0.25">
      <c r="A49"/>
    </row>
    <row r="50" spans="1:1" x14ac:dyDescent="0.25">
      <c r="A50"/>
    </row>
    <row r="51" spans="1:1" x14ac:dyDescent="0.25">
      <c r="A51"/>
    </row>
    <row r="52" spans="1:1" x14ac:dyDescent="0.25">
      <c r="A52"/>
    </row>
    <row r="53" spans="1:1" x14ac:dyDescent="0.25">
      <c r="A53"/>
    </row>
    <row r="54" spans="1:1" x14ac:dyDescent="0.25">
      <c r="A54"/>
    </row>
    <row r="55" spans="1:1" x14ac:dyDescent="0.25">
      <c r="A55"/>
    </row>
    <row r="56" spans="1:1" x14ac:dyDescent="0.25">
      <c r="A56"/>
    </row>
    <row r="57" spans="1:1" x14ac:dyDescent="0.25">
      <c r="A57"/>
    </row>
    <row r="58" spans="1:1" x14ac:dyDescent="0.25">
      <c r="A58"/>
    </row>
    <row r="59" spans="1:1" x14ac:dyDescent="0.25">
      <c r="A59"/>
    </row>
    <row r="60" spans="1:1" x14ac:dyDescent="0.25">
      <c r="A60"/>
    </row>
    <row r="61" spans="1:1" x14ac:dyDescent="0.25">
      <c r="A61"/>
    </row>
    <row r="64" spans="1:1" x14ac:dyDescent="0.25">
      <c r="A64"/>
    </row>
    <row r="65" spans="1:1" x14ac:dyDescent="0.25">
      <c r="A65"/>
    </row>
    <row r="66" spans="1:1" x14ac:dyDescent="0.25">
      <c r="A66"/>
    </row>
    <row r="67" spans="1:1" x14ac:dyDescent="0.25">
      <c r="A67"/>
    </row>
    <row r="68" spans="1:1" x14ac:dyDescent="0.25">
      <c r="A68"/>
    </row>
    <row r="69" spans="1:1" x14ac:dyDescent="0.25">
      <c r="A69"/>
    </row>
    <row r="70" spans="1:1" x14ac:dyDescent="0.25">
      <c r="A70"/>
    </row>
    <row r="71" spans="1:1" x14ac:dyDescent="0.25">
      <c r="A71"/>
    </row>
    <row r="72" spans="1:1" x14ac:dyDescent="0.25">
      <c r="A72"/>
    </row>
    <row r="73" spans="1:1" x14ac:dyDescent="0.25">
      <c r="A73"/>
    </row>
    <row r="74" spans="1:1" x14ac:dyDescent="0.25">
      <c r="A74"/>
    </row>
    <row r="78" spans="1:1" x14ac:dyDescent="0.25">
      <c r="A78"/>
    </row>
    <row r="79" spans="1:1" x14ac:dyDescent="0.25">
      <c r="A79"/>
    </row>
    <row r="80" spans="1:1" x14ac:dyDescent="0.25">
      <c r="A80"/>
    </row>
    <row r="81" spans="1:1" x14ac:dyDescent="0.25">
      <c r="A81"/>
    </row>
    <row r="84" spans="1:1" x14ac:dyDescent="0.25">
      <c r="A84"/>
    </row>
    <row r="85" spans="1:1" x14ac:dyDescent="0.25">
      <c r="A85"/>
    </row>
    <row r="86" spans="1:1" x14ac:dyDescent="0.25">
      <c r="A86"/>
    </row>
    <row r="87" spans="1:1" x14ac:dyDescent="0.25">
      <c r="A87"/>
    </row>
    <row r="88" spans="1:1" x14ac:dyDescent="0.25">
      <c r="A88"/>
    </row>
    <row r="89" spans="1:1" x14ac:dyDescent="0.25">
      <c r="A89"/>
    </row>
    <row r="93" spans="1:1" x14ac:dyDescent="0.25">
      <c r="A93"/>
    </row>
    <row r="94" spans="1:1" x14ac:dyDescent="0.25">
      <c r="A94"/>
    </row>
    <row r="95" spans="1:1" x14ac:dyDescent="0.25">
      <c r="A95"/>
    </row>
    <row r="96" spans="1:1" x14ac:dyDescent="0.25">
      <c r="A96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COVER</vt:lpstr>
      <vt:lpstr>LINK</vt:lpstr>
      <vt:lpstr>STOCK</vt:lpstr>
      <vt:lpstr>ACC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Gary Aitchison</dc:creator>
  <cp:lastModifiedBy>User</cp:lastModifiedBy>
  <dcterms:created xsi:type="dcterms:W3CDTF">2015-04-22T10:38:01Z</dcterms:created>
  <dcterms:modified xsi:type="dcterms:W3CDTF">2016-02-22T09:48:45Z</dcterms:modified>
</cp:coreProperties>
</file>